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hibz\Data Analyst\Fleet Department\Mr David Fleet Dataset\"/>
    </mc:Choice>
  </mc:AlternateContent>
  <xr:revisionPtr revIDLastSave="0" documentId="13_ncr:1_{F780DAF7-32CA-4194-887C-CFE868332B45}" xr6:coauthVersionLast="47" xr6:coauthVersionMax="47" xr10:uidLastSave="{00000000-0000-0000-0000-000000000000}"/>
  <bookViews>
    <workbookView xWindow="-108" yWindow="-108" windowWidth="23256" windowHeight="12456" activeTab="1" xr2:uid="{5B30558F-EDBD-479D-AE48-736C67A22CAB}"/>
  </bookViews>
  <sheets>
    <sheet name="Dashboard" sheetId="4" r:id="rId1"/>
    <sheet name="Summary" sheetId="1" r:id="rId2"/>
    <sheet name="Summary - Sorted" sheetId="5" r:id="rId3"/>
    <sheet name="Month Guide" sheetId="3" r:id="rId4"/>
    <sheet name="HQ Fleet Attendance" sheetId="2" r:id="rId5"/>
    <sheet name="Calendar Structure" sheetId="6" r:id="rId6"/>
  </sheets>
  <definedNames>
    <definedName name="_xlcn.WorksheetConnection_Book1HQ_Fleet_Attendance1" hidden="1">HQ_Fleet_Attendance[]</definedName>
    <definedName name="ExternalData_1" localSheetId="4" hidden="1">'HQ Fleet Attendance'!$A$1:$Q$1328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Q_Fleet_Attendance" name="HQ_Fleet_Attendance" connection="WorksheetConnection_Book1!HQ_Fleet_Attend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 a="1"/>
  <c r="AE54" i="6" s="1"/>
  <c r="AC3" i="6" l="1"/>
  <c r="AD4" i="6"/>
  <c r="AE5" i="6"/>
  <c r="Y7" i="6"/>
  <c r="Z8" i="6"/>
  <c r="AA9" i="6"/>
  <c r="AB10" i="6"/>
  <c r="AC11" i="6"/>
  <c r="AD12" i="6"/>
  <c r="AE13" i="6"/>
  <c r="Y15" i="6"/>
  <c r="Z16" i="6"/>
  <c r="AA17" i="6"/>
  <c r="AB18" i="6"/>
  <c r="AC19" i="6"/>
  <c r="AD20" i="6"/>
  <c r="AE21" i="6"/>
  <c r="Y23" i="6"/>
  <c r="Z24" i="6"/>
  <c r="AA25" i="6"/>
  <c r="AB26" i="6"/>
  <c r="AC27" i="6"/>
  <c r="AD28" i="6"/>
  <c r="AE29" i="6"/>
  <c r="Y31" i="6"/>
  <c r="Z32" i="6"/>
  <c r="AA33" i="6"/>
  <c r="AB34" i="6"/>
  <c r="AC35" i="6"/>
  <c r="AD36" i="6"/>
  <c r="AE37" i="6"/>
  <c r="Y39" i="6"/>
  <c r="Z40" i="6"/>
  <c r="AA41" i="6"/>
  <c r="AB42" i="6"/>
  <c r="AC43" i="6"/>
  <c r="AD44" i="6"/>
  <c r="AE45" i="6"/>
  <c r="Y47" i="6"/>
  <c r="Z48" i="6"/>
  <c r="AA49" i="6"/>
  <c r="AB50" i="6"/>
  <c r="AC51" i="6"/>
  <c r="AD52" i="6"/>
  <c r="AE53" i="6"/>
  <c r="Z4" i="6"/>
  <c r="AE9" i="6"/>
  <c r="AC15" i="6"/>
  <c r="Z20" i="6"/>
  <c r="AE25" i="6"/>
  <c r="AC31" i="6"/>
  <c r="Z36" i="6"/>
  <c r="AD40" i="6"/>
  <c r="AA45" i="6"/>
  <c r="AE49" i="6"/>
  <c r="AD3" i="6"/>
  <c r="AE4" i="6"/>
  <c r="Y6" i="6"/>
  <c r="Z7" i="6"/>
  <c r="AA8" i="6"/>
  <c r="AB9" i="6"/>
  <c r="AC10" i="6"/>
  <c r="AD11" i="6"/>
  <c r="AE12" i="6"/>
  <c r="Y14" i="6"/>
  <c r="Z15" i="6"/>
  <c r="AA16" i="6"/>
  <c r="AB17" i="6"/>
  <c r="AC18" i="6"/>
  <c r="AD19" i="6"/>
  <c r="AE20" i="6"/>
  <c r="Y22" i="6"/>
  <c r="Z23" i="6"/>
  <c r="AA24" i="6"/>
  <c r="AB25" i="6"/>
  <c r="AC26" i="6"/>
  <c r="AD27" i="6"/>
  <c r="AE28" i="6"/>
  <c r="Y30" i="6"/>
  <c r="Z31" i="6"/>
  <c r="AA32" i="6"/>
  <c r="AB33" i="6"/>
  <c r="AC34" i="6"/>
  <c r="AD35" i="6"/>
  <c r="AE36" i="6"/>
  <c r="Y38" i="6"/>
  <c r="Z39" i="6"/>
  <c r="AA40" i="6"/>
  <c r="AB41" i="6"/>
  <c r="AC42" i="6"/>
  <c r="AD43" i="6"/>
  <c r="AE44" i="6"/>
  <c r="Y46" i="6"/>
  <c r="Z47" i="6"/>
  <c r="AA48" i="6"/>
  <c r="AB49" i="6"/>
  <c r="AC50" i="6"/>
  <c r="AD51" i="6"/>
  <c r="AE52" i="6"/>
  <c r="Y54" i="6"/>
  <c r="AE3" i="6"/>
  <c r="Y5" i="6"/>
  <c r="Z6" i="6"/>
  <c r="AA7" i="6"/>
  <c r="AB8" i="6"/>
  <c r="AC9" i="6"/>
  <c r="AD10" i="6"/>
  <c r="AE11" i="6"/>
  <c r="Y13" i="6"/>
  <c r="Z14" i="6"/>
  <c r="AA15" i="6"/>
  <c r="AB16" i="6"/>
  <c r="AC17" i="6"/>
  <c r="AD18" i="6"/>
  <c r="AE19" i="6"/>
  <c r="Y21" i="6"/>
  <c r="Z22" i="6"/>
  <c r="AA23" i="6"/>
  <c r="AB24" i="6"/>
  <c r="AC25" i="6"/>
  <c r="AD26" i="6"/>
  <c r="AE27" i="6"/>
  <c r="Y29" i="6"/>
  <c r="Z30" i="6"/>
  <c r="AA31" i="6"/>
  <c r="AB32" i="6"/>
  <c r="AC33" i="6"/>
  <c r="AD34" i="6"/>
  <c r="AE35" i="6"/>
  <c r="Y37" i="6"/>
  <c r="Z38" i="6"/>
  <c r="AA39" i="6"/>
  <c r="AB40" i="6"/>
  <c r="AC41" i="6"/>
  <c r="AD42" i="6"/>
  <c r="AE43" i="6"/>
  <c r="Y45" i="6"/>
  <c r="Z46" i="6"/>
  <c r="AA47" i="6"/>
  <c r="AB48" i="6"/>
  <c r="AC49" i="6"/>
  <c r="AD50" i="6"/>
  <c r="AE51" i="6"/>
  <c r="Y53" i="6"/>
  <c r="Z54" i="6"/>
  <c r="AB6" i="6"/>
  <c r="AD8" i="6"/>
  <c r="AA13" i="6"/>
  <c r="AD16" i="6"/>
  <c r="AA21" i="6"/>
  <c r="AD24" i="6"/>
  <c r="AA29" i="6"/>
  <c r="Y35" i="6"/>
  <c r="AC39" i="6"/>
  <c r="Z44" i="6"/>
  <c r="AD48" i="6"/>
  <c r="Z52" i="6"/>
  <c r="Y4" i="6"/>
  <c r="Z5" i="6"/>
  <c r="AA6" i="6"/>
  <c r="AB7" i="6"/>
  <c r="AC8" i="6"/>
  <c r="AD9" i="6"/>
  <c r="AE10" i="6"/>
  <c r="Y12" i="6"/>
  <c r="Z13" i="6"/>
  <c r="AA14" i="6"/>
  <c r="AB15" i="6"/>
  <c r="AC16" i="6"/>
  <c r="AD17" i="6"/>
  <c r="AE18" i="6"/>
  <c r="Y20" i="6"/>
  <c r="Z21" i="6"/>
  <c r="AA22" i="6"/>
  <c r="AB23" i="6"/>
  <c r="AC24" i="6"/>
  <c r="AD25" i="6"/>
  <c r="AE26" i="6"/>
  <c r="Y28" i="6"/>
  <c r="Z29" i="6"/>
  <c r="AA30" i="6"/>
  <c r="AB31" i="6"/>
  <c r="AC32" i="6"/>
  <c r="AD33" i="6"/>
  <c r="AE34" i="6"/>
  <c r="Y36" i="6"/>
  <c r="Z37" i="6"/>
  <c r="AA38" i="6"/>
  <c r="AB39" i="6"/>
  <c r="AC40" i="6"/>
  <c r="AD41" i="6"/>
  <c r="AE42" i="6"/>
  <c r="Y44" i="6"/>
  <c r="Z45" i="6"/>
  <c r="AA46" i="6"/>
  <c r="AB47" i="6"/>
  <c r="AC48" i="6"/>
  <c r="AD49" i="6"/>
  <c r="AE50" i="6"/>
  <c r="Y52" i="6"/>
  <c r="Z53" i="6"/>
  <c r="AA54" i="6"/>
  <c r="AB54" i="6"/>
  <c r="AA5" i="6"/>
  <c r="Y11" i="6"/>
  <c r="AB14" i="6"/>
  <c r="Y19" i="6"/>
  <c r="AB22" i="6"/>
  <c r="Z28" i="6"/>
  <c r="AD32" i="6"/>
  <c r="AA37" i="6"/>
  <c r="AE41" i="6"/>
  <c r="AC47" i="6"/>
  <c r="AA53" i="6"/>
  <c r="Z3" i="6"/>
  <c r="AA4" i="6"/>
  <c r="AB5" i="6"/>
  <c r="AC6" i="6"/>
  <c r="AD7" i="6"/>
  <c r="AE8" i="6"/>
  <c r="Y10" i="6"/>
  <c r="Z11" i="6"/>
  <c r="AA12" i="6"/>
  <c r="AB13" i="6"/>
  <c r="AC14" i="6"/>
  <c r="AD15" i="6"/>
  <c r="AE16" i="6"/>
  <c r="Y18" i="6"/>
  <c r="Z19" i="6"/>
  <c r="AA20" i="6"/>
  <c r="AB21" i="6"/>
  <c r="AC22" i="6"/>
  <c r="AD23" i="6"/>
  <c r="AE24" i="6"/>
  <c r="Y26" i="6"/>
  <c r="Z27" i="6"/>
  <c r="AA28" i="6"/>
  <c r="AB29" i="6"/>
  <c r="AC30" i="6"/>
  <c r="AD31" i="6"/>
  <c r="AE32" i="6"/>
  <c r="Y34" i="6"/>
  <c r="Z35" i="6"/>
  <c r="AA36" i="6"/>
  <c r="AB37" i="6"/>
  <c r="AC38" i="6"/>
  <c r="AD39" i="6"/>
  <c r="AE40" i="6"/>
  <c r="Y42" i="6"/>
  <c r="Z43" i="6"/>
  <c r="AA44" i="6"/>
  <c r="AB45" i="6"/>
  <c r="AC46" i="6"/>
  <c r="AD47" i="6"/>
  <c r="AE48" i="6"/>
  <c r="Y50" i="6"/>
  <c r="Z51" i="6"/>
  <c r="AA52" i="6"/>
  <c r="AB53" i="6"/>
  <c r="AC54" i="6"/>
  <c r="AA3" i="6"/>
  <c r="AB4" i="6"/>
  <c r="AC5" i="6"/>
  <c r="AD6" i="6"/>
  <c r="AE7" i="6"/>
  <c r="Y9" i="6"/>
  <c r="Z10" i="6"/>
  <c r="AA11" i="6"/>
  <c r="AB12" i="6"/>
  <c r="AC13" i="6"/>
  <c r="AD14" i="6"/>
  <c r="AE15" i="6"/>
  <c r="Y17" i="6"/>
  <c r="Z18" i="6"/>
  <c r="AA19" i="6"/>
  <c r="AB20" i="6"/>
  <c r="AC21" i="6"/>
  <c r="AD22" i="6"/>
  <c r="AE23" i="6"/>
  <c r="Y25" i="6"/>
  <c r="Z26" i="6"/>
  <c r="AA27" i="6"/>
  <c r="AB28" i="6"/>
  <c r="AC29" i="6"/>
  <c r="AD30" i="6"/>
  <c r="AE31" i="6"/>
  <c r="Y33" i="6"/>
  <c r="Z34" i="6"/>
  <c r="AA35" i="6"/>
  <c r="AB36" i="6"/>
  <c r="AC37" i="6"/>
  <c r="AD38" i="6"/>
  <c r="AE39" i="6"/>
  <c r="Y41" i="6"/>
  <c r="Z42" i="6"/>
  <c r="AA43" i="6"/>
  <c r="AB44" i="6"/>
  <c r="AC45" i="6"/>
  <c r="AD46" i="6"/>
  <c r="AE47" i="6"/>
  <c r="Y49" i="6"/>
  <c r="Z50" i="6"/>
  <c r="AA51" i="6"/>
  <c r="AB52" i="6"/>
  <c r="AC53" i="6"/>
  <c r="AD54" i="6"/>
  <c r="AC7" i="6"/>
  <c r="Z12" i="6"/>
  <c r="AE17" i="6"/>
  <c r="AC23" i="6"/>
  <c r="Y27" i="6"/>
  <c r="AB30" i="6"/>
  <c r="AE33" i="6"/>
  <c r="AB38" i="6"/>
  <c r="Y43" i="6"/>
  <c r="AB46" i="6"/>
  <c r="Y51" i="6"/>
  <c r="A3" i="6"/>
  <c r="AB3" i="6"/>
  <c r="AC4" i="6"/>
  <c r="AD5" i="6"/>
  <c r="AE6" i="6"/>
  <c r="Y8" i="6"/>
  <c r="Z9" i="6"/>
  <c r="AA10" i="6"/>
  <c r="AB11" i="6"/>
  <c r="AC12" i="6"/>
  <c r="AD13" i="6"/>
  <c r="AE14" i="6"/>
  <c r="Y16" i="6"/>
  <c r="Z17" i="6"/>
  <c r="AA18" i="6"/>
  <c r="AB19" i="6"/>
  <c r="AC20" i="6"/>
  <c r="AD21" i="6"/>
  <c r="AE22" i="6"/>
  <c r="Y24" i="6"/>
  <c r="Z25" i="6"/>
  <c r="AA26" i="6"/>
  <c r="AB27" i="6"/>
  <c r="AC28" i="6"/>
  <c r="AD29" i="6"/>
  <c r="AE30" i="6"/>
  <c r="Y32" i="6"/>
  <c r="Z33" i="6"/>
  <c r="AA34" i="6"/>
  <c r="AB35" i="6"/>
  <c r="AC36" i="6"/>
  <c r="AD37" i="6"/>
  <c r="AE38" i="6"/>
  <c r="Y40" i="6"/>
  <c r="Z41" i="6"/>
  <c r="AA42" i="6"/>
  <c r="AB43" i="6"/>
  <c r="AC44" i="6"/>
  <c r="AD45" i="6"/>
  <c r="AE46" i="6"/>
  <c r="Y48" i="6"/>
  <c r="Z49" i="6"/>
  <c r="AA50" i="6"/>
  <c r="AB51" i="6"/>
  <c r="AC52" i="6"/>
  <c r="AD53" i="6"/>
  <c r="Y3" i="6" l="1"/>
  <c r="Q3" i="6" a="1"/>
  <c r="Q3" i="6" s="1"/>
  <c r="I3" i="6" a="1"/>
  <c r="I3" i="6" s="1"/>
  <c r="G1" i="4"/>
  <c r="C1" i="4"/>
  <c r="M1" i="4" s="1"/>
  <c r="AH4" i="5"/>
  <c r="AF4" i="5"/>
  <c r="J20" i="5" s="1"/>
  <c r="AG4" i="5"/>
  <c r="K20" i="5" s="1"/>
  <c r="J1" i="4" l="1"/>
  <c r="U4" i="5"/>
  <c r="F20" i="5" s="1"/>
  <c r="V4" i="5"/>
  <c r="G20" i="5" s="1"/>
  <c r="W4" i="5"/>
  <c r="F1" i="5"/>
  <c r="G1" i="5"/>
  <c r="D1" i="5"/>
  <c r="E1" i="5"/>
  <c r="A2" i="5"/>
  <c r="A1" i="5"/>
  <c r="B4" i="5"/>
  <c r="C4" i="5"/>
  <c r="D4" i="5"/>
  <c r="E4" i="5"/>
  <c r="F4" i="5"/>
  <c r="G4" i="5"/>
  <c r="H4" i="5"/>
  <c r="I4" i="5"/>
  <c r="J4" i="5"/>
  <c r="B20" i="5" s="1"/>
  <c r="K4" i="5"/>
  <c r="C20" i="5" s="1"/>
  <c r="L4" i="5"/>
  <c r="A4" i="5"/>
  <c r="A20" i="5" s="1"/>
  <c r="P6" i="1" l="1"/>
  <c r="Q6" i="1"/>
  <c r="R6" i="1"/>
  <c r="S6" i="1"/>
  <c r="T6" i="1"/>
  <c r="O6" i="1"/>
  <c r="N6" i="1"/>
  <c r="N8" i="1"/>
  <c r="Y8" i="1" s="1"/>
  <c r="N9" i="1"/>
  <c r="Y9" i="1" s="1"/>
  <c r="N10" i="1"/>
  <c r="Y10" i="1" s="1"/>
  <c r="N11" i="1"/>
  <c r="Y11" i="1" s="1"/>
  <c r="N12" i="1"/>
  <c r="Y12" i="1" s="1"/>
  <c r="N13" i="1"/>
  <c r="Y13" i="1" s="1"/>
  <c r="N14" i="1"/>
  <c r="Y14" i="1" s="1"/>
  <c r="N15" i="1"/>
  <c r="Y15" i="1" s="1"/>
  <c r="N16" i="1"/>
  <c r="Y16" i="1" s="1"/>
  <c r="N17" i="1"/>
  <c r="Y17" i="1" s="1"/>
  <c r="N18" i="1"/>
  <c r="Y18" i="1" s="1"/>
  <c r="N19" i="1"/>
  <c r="Y19" i="1" s="1"/>
  <c r="N7" i="1"/>
  <c r="Y7" i="1" s="1"/>
  <c r="AD6" i="1" l="1"/>
  <c r="AD4" i="5" s="1"/>
  <c r="S4" i="5"/>
  <c r="AC6" i="1"/>
  <c r="AC4" i="5" s="1"/>
  <c r="R4" i="5"/>
  <c r="AE6" i="1"/>
  <c r="AE4" i="5" s="1"/>
  <c r="T4" i="5"/>
  <c r="AB6" i="1"/>
  <c r="AB4" i="5" s="1"/>
  <c r="Q4" i="5"/>
  <c r="Z6" i="1"/>
  <c r="Z4" i="5" s="1"/>
  <c r="O4" i="5"/>
  <c r="AA6" i="1"/>
  <c r="AA4" i="5" s="1"/>
  <c r="P4" i="5"/>
  <c r="Y6" i="1"/>
  <c r="Y4" i="5" s="1"/>
  <c r="I20" i="5" s="1"/>
  <c r="N4" i="5"/>
  <c r="E20" i="5" s="1"/>
  <c r="C8" i="1"/>
  <c r="C9" i="1"/>
  <c r="C10" i="1"/>
  <c r="C11" i="1"/>
  <c r="C12" i="1"/>
  <c r="C13" i="1"/>
  <c r="C14" i="1"/>
  <c r="C15" i="1"/>
  <c r="C16" i="1"/>
  <c r="C17" i="1"/>
  <c r="C18" i="1"/>
  <c r="C19" i="1"/>
  <c r="C7" i="1"/>
  <c r="B8" i="1"/>
  <c r="B9" i="1"/>
  <c r="B10" i="1"/>
  <c r="B11" i="1"/>
  <c r="B12" i="1"/>
  <c r="B13" i="1"/>
  <c r="B14" i="1"/>
  <c r="B15" i="1"/>
  <c r="B16" i="1"/>
  <c r="B17" i="1"/>
  <c r="B18" i="1"/>
  <c r="B19" i="1"/>
  <c r="B7" i="1"/>
  <c r="C1" i="1"/>
  <c r="C1" i="5" s="1"/>
  <c r="C2" i="1"/>
  <c r="C2" i="5" s="1"/>
  <c r="B1" i="1"/>
  <c r="B1" i="5" s="1"/>
  <c r="B2" i="1"/>
  <c r="Y5" i="1" l="1"/>
  <c r="Y3" i="5" s="1"/>
  <c r="B2" i="5"/>
  <c r="D2" i="1"/>
  <c r="D2" i="5" s="1"/>
  <c r="E2" i="1"/>
  <c r="F2" i="1"/>
  <c r="F2" i="5" s="1"/>
  <c r="G2" i="1"/>
  <c r="G2" i="5" s="1"/>
  <c r="E2" i="5" l="1"/>
  <c r="N3" i="5" s="1"/>
  <c r="A5" i="1"/>
  <c r="A3" i="5" s="1"/>
  <c r="N5" i="1"/>
  <c r="AG7" i="1"/>
  <c r="AG9" i="1"/>
  <c r="AG17" i="1"/>
  <c r="AG19" i="1"/>
  <c r="AG13" i="1"/>
  <c r="AG10" i="1"/>
  <c r="AG18" i="1"/>
  <c r="AG11" i="1"/>
  <c r="AG12" i="1"/>
  <c r="AG8" i="1"/>
  <c r="AG14" i="1"/>
  <c r="AG15" i="1"/>
  <c r="AG16" i="1"/>
  <c r="Z8" i="1"/>
  <c r="AB9" i="1"/>
  <c r="AD10" i="1"/>
  <c r="Z12" i="1"/>
  <c r="AB13" i="1"/>
  <c r="AD14" i="1"/>
  <c r="Z16" i="1"/>
  <c r="AB17" i="1"/>
  <c r="AD18" i="1"/>
  <c r="AD9" i="1"/>
  <c r="AB12" i="1"/>
  <c r="Z15" i="1"/>
  <c r="AD17" i="1"/>
  <c r="AE9" i="1"/>
  <c r="AC12" i="1"/>
  <c r="AE13" i="1"/>
  <c r="AA15" i="1"/>
  <c r="AE17" i="1"/>
  <c r="Z10" i="1"/>
  <c r="AD12" i="1"/>
  <c r="AB15" i="1"/>
  <c r="Z18" i="1"/>
  <c r="AA10" i="1"/>
  <c r="AE12" i="1"/>
  <c r="AC15" i="1"/>
  <c r="AC19" i="1"/>
  <c r="Z9" i="1"/>
  <c r="AB14" i="1"/>
  <c r="AB18" i="1"/>
  <c r="AD19" i="1"/>
  <c r="AC10" i="1"/>
  <c r="AA13" i="1"/>
  <c r="AE15" i="1"/>
  <c r="AC18" i="1"/>
  <c r="AA8" i="1"/>
  <c r="AC9" i="1"/>
  <c r="AE10" i="1"/>
  <c r="AA12" i="1"/>
  <c r="AC13" i="1"/>
  <c r="AE14" i="1"/>
  <c r="AA16" i="1"/>
  <c r="AC17" i="1"/>
  <c r="AE18" i="1"/>
  <c r="AB8" i="1"/>
  <c r="Z11" i="1"/>
  <c r="AD13" i="1"/>
  <c r="AB16" i="1"/>
  <c r="Z19" i="1"/>
  <c r="AC8" i="1"/>
  <c r="AA11" i="1"/>
  <c r="AC16" i="1"/>
  <c r="AA19" i="1"/>
  <c r="AD8" i="1"/>
  <c r="AB11" i="1"/>
  <c r="Z14" i="1"/>
  <c r="AD16" i="1"/>
  <c r="AB19" i="1"/>
  <c r="AE8" i="1"/>
  <c r="AC11" i="1"/>
  <c r="AA14" i="1"/>
  <c r="AE16" i="1"/>
  <c r="AA18" i="1"/>
  <c r="AB10" i="1"/>
  <c r="AD11" i="1"/>
  <c r="Z13" i="1"/>
  <c r="AD15" i="1"/>
  <c r="Z17" i="1"/>
  <c r="AA9" i="1"/>
  <c r="AE11" i="1"/>
  <c r="AC14" i="1"/>
  <c r="AA17" i="1"/>
  <c r="AE19" i="1"/>
  <c r="AE7" i="1"/>
  <c r="AB7" i="1"/>
  <c r="AC7" i="1"/>
  <c r="AD7" i="1"/>
  <c r="Z7" i="1"/>
  <c r="AA7" i="1"/>
  <c r="T7" i="1"/>
  <c r="T8" i="1"/>
  <c r="T16" i="1"/>
  <c r="T9" i="1"/>
  <c r="T17" i="1"/>
  <c r="T19" i="1"/>
  <c r="T13" i="1"/>
  <c r="T15" i="1"/>
  <c r="T10" i="1"/>
  <c r="T18" i="1"/>
  <c r="T11" i="1"/>
  <c r="T14" i="1"/>
  <c r="T12" i="1"/>
  <c r="S7" i="1"/>
  <c r="S10" i="1"/>
  <c r="S18" i="1"/>
  <c r="S11" i="1"/>
  <c r="S19" i="1"/>
  <c r="S9" i="1"/>
  <c r="S12" i="1"/>
  <c r="S15" i="1"/>
  <c r="S16" i="1"/>
  <c r="S13" i="1"/>
  <c r="S14" i="1"/>
  <c r="S8" i="1"/>
  <c r="S17" i="1"/>
  <c r="R7" i="1"/>
  <c r="R8" i="1"/>
  <c r="R16" i="1"/>
  <c r="R12" i="1"/>
  <c r="R9" i="1"/>
  <c r="R17" i="1"/>
  <c r="R18" i="1"/>
  <c r="R13" i="1"/>
  <c r="R15" i="1"/>
  <c r="R10" i="1"/>
  <c r="R11" i="1"/>
  <c r="R19" i="1"/>
  <c r="R14" i="1"/>
  <c r="P7" i="1"/>
  <c r="P10" i="1"/>
  <c r="P18" i="1"/>
  <c r="P11" i="1"/>
  <c r="P19" i="1"/>
  <c r="P12" i="1"/>
  <c r="P13" i="1"/>
  <c r="P14" i="1"/>
  <c r="P15" i="1"/>
  <c r="P8" i="1"/>
  <c r="P16" i="1"/>
  <c r="P9" i="1"/>
  <c r="P17" i="1"/>
  <c r="O7" i="1"/>
  <c r="O8" i="1"/>
  <c r="O16" i="1"/>
  <c r="O14" i="1"/>
  <c r="O9" i="1"/>
  <c r="O17" i="1"/>
  <c r="O10" i="1"/>
  <c r="O18" i="1"/>
  <c r="O11" i="1"/>
  <c r="O19" i="1"/>
  <c r="O13" i="1"/>
  <c r="O15" i="1"/>
  <c r="O12" i="1"/>
  <c r="Q7" i="1"/>
  <c r="Q8" i="1"/>
  <c r="Q16" i="1"/>
  <c r="Q14" i="1"/>
  <c r="Q9" i="1"/>
  <c r="Q17" i="1"/>
  <c r="Q15" i="1"/>
  <c r="Q10" i="1"/>
  <c r="Q18" i="1"/>
  <c r="Q11" i="1"/>
  <c r="Q19" i="1"/>
  <c r="Q13" i="1"/>
  <c r="Q12" i="1"/>
  <c r="K7" i="1"/>
  <c r="K9" i="1"/>
  <c r="K17" i="1"/>
  <c r="K10" i="1"/>
  <c r="K18" i="1"/>
  <c r="K19" i="1"/>
  <c r="K12" i="1"/>
  <c r="K13" i="1"/>
  <c r="K14" i="1"/>
  <c r="K15" i="1"/>
  <c r="K16" i="1"/>
  <c r="K11" i="1"/>
  <c r="K8" i="1"/>
  <c r="I7" i="1"/>
  <c r="I8" i="1"/>
  <c r="I16" i="1"/>
  <c r="I17" i="1"/>
  <c r="I10" i="1"/>
  <c r="I18" i="1"/>
  <c r="I19" i="1"/>
  <c r="I12" i="1"/>
  <c r="I13" i="1"/>
  <c r="I15" i="1"/>
  <c r="I9" i="1"/>
  <c r="I14" i="1"/>
  <c r="I11" i="1"/>
  <c r="H7" i="1"/>
  <c r="H8" i="1"/>
  <c r="H16" i="1"/>
  <c r="H9" i="1"/>
  <c r="H17" i="1"/>
  <c r="H10" i="1"/>
  <c r="H11" i="1"/>
  <c r="H19" i="1"/>
  <c r="H12" i="1"/>
  <c r="H13" i="1"/>
  <c r="H14" i="1"/>
  <c r="H15" i="1"/>
  <c r="H18" i="1"/>
  <c r="G7" i="1"/>
  <c r="G9" i="1"/>
  <c r="G17" i="1"/>
  <c r="G10" i="1"/>
  <c r="G18" i="1"/>
  <c r="G19" i="1"/>
  <c r="G12" i="1"/>
  <c r="G13" i="1"/>
  <c r="G15" i="1"/>
  <c r="G8" i="1"/>
  <c r="G16" i="1"/>
  <c r="G11" i="1"/>
  <c r="G14" i="1"/>
  <c r="F7" i="1"/>
  <c r="F9" i="1"/>
  <c r="F17" i="1"/>
  <c r="F8" i="1"/>
  <c r="F10" i="1"/>
  <c r="F18" i="1"/>
  <c r="F14" i="1"/>
  <c r="F11" i="1"/>
  <c r="F19" i="1"/>
  <c r="F13" i="1"/>
  <c r="F16" i="1"/>
  <c r="F12" i="1"/>
  <c r="F15" i="1"/>
  <c r="E7" i="1"/>
  <c r="E9" i="1"/>
  <c r="E17" i="1"/>
  <c r="E18" i="1"/>
  <c r="E11" i="1"/>
  <c r="E19" i="1"/>
  <c r="E12" i="1"/>
  <c r="E14" i="1"/>
  <c r="E16" i="1"/>
  <c r="E10" i="1"/>
  <c r="E13" i="1"/>
  <c r="E8" i="1"/>
  <c r="E15" i="1"/>
  <c r="D7" i="1"/>
  <c r="D8" i="1"/>
  <c r="D9" i="1"/>
  <c r="D17" i="1"/>
  <c r="D10" i="1"/>
  <c r="D18" i="1"/>
  <c r="D11" i="1"/>
  <c r="D19" i="1"/>
  <c r="D12" i="1"/>
  <c r="D13" i="1"/>
  <c r="D14" i="1"/>
  <c r="D15" i="1"/>
  <c r="D16" i="1"/>
  <c r="AF17" i="1" l="1"/>
  <c r="AF11" i="1"/>
  <c r="AF13" i="1"/>
  <c r="AF9" i="1"/>
  <c r="AF16" i="1"/>
  <c r="AF18" i="1"/>
  <c r="AF10" i="1"/>
  <c r="AF8" i="1"/>
  <c r="AF19" i="1"/>
  <c r="AF15" i="1"/>
  <c r="AF14" i="1"/>
  <c r="AF12" i="1"/>
  <c r="AF7" i="1"/>
  <c r="U12" i="1"/>
  <c r="U9" i="1"/>
  <c r="U16" i="1"/>
  <c r="U15" i="1"/>
  <c r="U14" i="1"/>
  <c r="U13" i="1"/>
  <c r="U19" i="1"/>
  <c r="U8" i="1"/>
  <c r="U11" i="1"/>
  <c r="U18" i="1"/>
  <c r="U10" i="1"/>
  <c r="U17" i="1"/>
  <c r="U7" i="1"/>
  <c r="AH17" i="1"/>
  <c r="AH8" i="1"/>
  <c r="AH11" i="1"/>
  <c r="AH18" i="1"/>
  <c r="AH16" i="1"/>
  <c r="AH10" i="1"/>
  <c r="AH15" i="1"/>
  <c r="AH13" i="1"/>
  <c r="AH14" i="1"/>
  <c r="AH19" i="1"/>
  <c r="AH9" i="1"/>
  <c r="AH12" i="1"/>
  <c r="AH7" i="1"/>
  <c r="V9" i="1"/>
  <c r="V16" i="1"/>
  <c r="V8" i="1"/>
  <c r="V17" i="1"/>
  <c r="V12" i="1"/>
  <c r="V14" i="1"/>
  <c r="V19" i="1"/>
  <c r="V11" i="1"/>
  <c r="V15" i="1"/>
  <c r="V18" i="1"/>
  <c r="V13" i="1"/>
  <c r="V10" i="1"/>
  <c r="V7" i="1"/>
  <c r="L8" i="1"/>
  <c r="L11" i="1"/>
  <c r="L10" i="1"/>
  <c r="L9" i="1"/>
  <c r="L7" i="1"/>
  <c r="J12" i="1"/>
  <c r="J8" i="1"/>
  <c r="J19" i="1"/>
  <c r="J14" i="1"/>
  <c r="J17" i="1"/>
  <c r="J11" i="1"/>
  <c r="J16" i="1"/>
  <c r="J18" i="1"/>
  <c r="J15" i="1"/>
  <c r="J10" i="1"/>
  <c r="J13" i="1"/>
  <c r="J9" i="1"/>
  <c r="J7" i="1"/>
  <c r="Y5" i="5" l="1" a="1"/>
  <c r="W19" i="1"/>
  <c r="W12" i="1"/>
  <c r="W14" i="1"/>
  <c r="W10" i="1"/>
  <c r="W17" i="1"/>
  <c r="W13" i="1"/>
  <c r="W18" i="1"/>
  <c r="W8" i="1"/>
  <c r="W15" i="1"/>
  <c r="W16" i="1"/>
  <c r="W11" i="1"/>
  <c r="W9" i="1"/>
  <c r="W7" i="1"/>
  <c r="L15" i="1"/>
  <c r="L17" i="1"/>
  <c r="L16" i="1"/>
  <c r="L18" i="1"/>
  <c r="L13" i="1"/>
  <c r="L19" i="1"/>
  <c r="L14" i="1"/>
  <c r="L12" i="1"/>
  <c r="I29" i="5" l="1"/>
  <c r="K31" i="5"/>
  <c r="J29" i="5"/>
  <c r="K29" i="5"/>
  <c r="J32" i="5"/>
  <c r="K32" i="5"/>
  <c r="J30" i="5"/>
  <c r="K30" i="5"/>
  <c r="J33" i="5"/>
  <c r="K33" i="5"/>
  <c r="J31" i="5"/>
  <c r="I32" i="5"/>
  <c r="I30" i="5"/>
  <c r="I33" i="5"/>
  <c r="I31" i="5"/>
  <c r="K21" i="5"/>
  <c r="K22" i="5"/>
  <c r="K23" i="5"/>
  <c r="K24" i="5"/>
  <c r="K25" i="5"/>
  <c r="K26" i="5"/>
  <c r="K27" i="5"/>
  <c r="K28" i="5"/>
  <c r="J22" i="5"/>
  <c r="J23" i="5"/>
  <c r="J24" i="5"/>
  <c r="J25" i="5"/>
  <c r="J26" i="5"/>
  <c r="J27" i="5"/>
  <c r="J28" i="5"/>
  <c r="J21" i="5"/>
  <c r="Y5" i="5"/>
  <c r="I21" i="5" s="1"/>
  <c r="I22" i="5"/>
  <c r="I23" i="5"/>
  <c r="I24" i="5"/>
  <c r="I25" i="5"/>
  <c r="I26" i="5"/>
  <c r="I27" i="5"/>
  <c r="I28" i="5"/>
  <c r="N5" i="5" a="1"/>
  <c r="A5" i="5" a="1"/>
  <c r="E29" i="5" l="1"/>
  <c r="G31" i="5"/>
  <c r="F29" i="5"/>
  <c r="E32" i="5"/>
  <c r="E30" i="5"/>
  <c r="G30" i="5"/>
  <c r="F33" i="5"/>
  <c r="F31" i="5"/>
  <c r="G29" i="5"/>
  <c r="F32" i="5"/>
  <c r="G32" i="5"/>
  <c r="E33" i="5"/>
  <c r="E31" i="5"/>
  <c r="F30" i="5"/>
  <c r="G33" i="5"/>
  <c r="B29" i="5"/>
  <c r="B33" i="5"/>
  <c r="C33" i="5"/>
  <c r="C30" i="5"/>
  <c r="C29" i="5"/>
  <c r="B30" i="5"/>
  <c r="B31" i="5"/>
  <c r="C31" i="5"/>
  <c r="B32" i="5"/>
  <c r="C32" i="5"/>
  <c r="A29" i="5"/>
  <c r="A30" i="5"/>
  <c r="A31" i="5"/>
  <c r="A32" i="5"/>
  <c r="A33" i="5"/>
  <c r="G21" i="5"/>
  <c r="G22" i="5"/>
  <c r="G23" i="5"/>
  <c r="G24" i="5"/>
  <c r="G25" i="5"/>
  <c r="G26" i="5"/>
  <c r="G27" i="5"/>
  <c r="G28" i="5"/>
  <c r="C21" i="5"/>
  <c r="C22" i="5"/>
  <c r="C23" i="5"/>
  <c r="C24" i="5"/>
  <c r="C25" i="5"/>
  <c r="C26" i="5"/>
  <c r="C27" i="5"/>
  <c r="C28" i="5"/>
  <c r="F21" i="5"/>
  <c r="F24" i="5"/>
  <c r="F25" i="5"/>
  <c r="F26" i="5"/>
  <c r="F27" i="5"/>
  <c r="F28" i="5"/>
  <c r="F22" i="5"/>
  <c r="F23" i="5"/>
  <c r="N5" i="5"/>
  <c r="E21" i="5" s="1"/>
  <c r="E23" i="5"/>
  <c r="E24" i="5"/>
  <c r="E25" i="5"/>
  <c r="E26" i="5"/>
  <c r="E27" i="5"/>
  <c r="E28" i="5"/>
  <c r="E22" i="5"/>
  <c r="B23" i="5"/>
  <c r="B24" i="5"/>
  <c r="B25" i="5"/>
  <c r="B26" i="5"/>
  <c r="B27" i="5"/>
  <c r="B28" i="5"/>
  <c r="B21" i="5"/>
  <c r="B22" i="5"/>
  <c r="A5" i="5"/>
  <c r="A21" i="5" s="1"/>
  <c r="A22" i="5"/>
  <c r="A23" i="5"/>
  <c r="A24" i="5"/>
  <c r="A25" i="5"/>
  <c r="A28" i="5"/>
  <c r="A26" i="5"/>
  <c r="A2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CCFF6-956F-42D8-9201-1B053CADA068}" keepAlive="1" name="Query - HQ Fleet Attendance" description="Connection to the 'HQ Fleet Attendance' query in the workbook." type="5" refreshedVersion="7" background="1" saveData="1">
    <dbPr connection="Provider=Microsoft.Mashup.OleDb.1;Data Source=$Workbook$;Location=&quot;HQ Fleet Attendance&quot;;Extended Properties=&quot;&quot;" command="SELECT * FROM [HQ Fleet Attendance]"/>
  </connection>
  <connection id="2" xr16:uid="{BB5E7ADB-4B13-4735-AFBE-DD144F49006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02129FC-E743-4AE9-B1B5-0D62A073E129}" name="WorksheetConnection_Book1!HQ_Fleet_Attendance" type="102" refreshedVersion="7" minRefreshableVersion="5">
    <extLst>
      <ext xmlns:x15="http://schemas.microsoft.com/office/spreadsheetml/2010/11/main" uri="{DE250136-89BD-433C-8126-D09CA5730AF9}">
        <x15:connection id="HQ_Fleet_Attendance" autoDelete="1">
          <x15:rangePr sourceName="_xlcn.WorksheetConnection_Book1HQ_Fleet_Attendanc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HQ_Fleet_Attendance].[data-section1-position].[All]}"/>
    <s v="{[HQ_Fleet_Attendance].[data-section1-activity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<sst xmlns="http://schemas.openxmlformats.org/spreadsheetml/2006/main" count="16033" uniqueCount="1875">
  <si>
    <t>data-start_time</t>
  </si>
  <si>
    <t>data-end_time</t>
  </si>
  <si>
    <t>data-section1-activity</t>
  </si>
  <si>
    <t>data-section1-position</t>
  </si>
  <si>
    <t>data-section1-staff</t>
  </si>
  <si>
    <t>data-section1-staff_sick</t>
  </si>
  <si>
    <t>data-section1-sick_reason</t>
  </si>
  <si>
    <t>data-section1-staff_on_leave</t>
  </si>
  <si>
    <t>data-section1-leave_type</t>
  </si>
  <si>
    <t>data-section1-staff_absentee</t>
  </si>
  <si>
    <t>data-section1-absent_reason</t>
  </si>
  <si>
    <t>data-section1-uid</t>
  </si>
  <si>
    <t>data-meta-instanceID</t>
  </si>
  <si>
    <t>Week Name</t>
  </si>
  <si>
    <t>Month Number</t>
  </si>
  <si>
    <t>Date</t>
  </si>
  <si>
    <t>Week of the Year</t>
  </si>
  <si>
    <t>6/29/2022 15:02:00</t>
  </si>
  <si>
    <t>absentee</t>
  </si>
  <si>
    <t>fleet_finance_officer</t>
  </si>
  <si>
    <t/>
  </si>
  <si>
    <t>joseph_akpan</t>
  </si>
  <si>
    <t>On assignment</t>
  </si>
  <si>
    <t>uuid:1f36b85d-ff29-4441-8c00-f50552522997</t>
  </si>
  <si>
    <t>Wednesday</t>
  </si>
  <si>
    <t>6/29/2022 15:03:00</t>
  </si>
  <si>
    <t>director</t>
  </si>
  <si>
    <t>ayo_bamidele</t>
  </si>
  <si>
    <t>uuid:6103ac44-4bc6-4136-ab52-4b6c5bb32d9b</t>
  </si>
  <si>
    <t>corper</t>
  </si>
  <si>
    <t>abdulazeez_juwon</t>
  </si>
  <si>
    <t>CSD</t>
  </si>
  <si>
    <t>uuid:85bbbfa5-d629-4019-a378-1200175af8a4</t>
  </si>
  <si>
    <t>6/29/2022 15:04:00</t>
  </si>
  <si>
    <t>titilayo_corper</t>
  </si>
  <si>
    <t>uuid:c603cb2b-91db-4a0e-91f9-6fcaf003b40d</t>
  </si>
  <si>
    <t>6/29/2022 15:05:00</t>
  </si>
  <si>
    <t>attendance</t>
  </si>
  <si>
    <t>data_optimization_manager</t>
  </si>
  <si>
    <t>david_jimba</t>
  </si>
  <si>
    <t>uuid:96668153-daa5-451e-8629-ddf53344c9a1</t>
  </si>
  <si>
    <t>document_reconcilation_officer</t>
  </si>
  <si>
    <t>kenedy_onaise</t>
  </si>
  <si>
    <t>uuid:d0ae9f07-16b0-4307-b516-6e6ff55222dc</t>
  </si>
  <si>
    <t>fuel_reconcilation_officer</t>
  </si>
  <si>
    <t>ademola_akintayo</t>
  </si>
  <si>
    <t>uuid:5229b44e-8ab4-4f55-96e2-f6fc1f2387f1</t>
  </si>
  <si>
    <t>car_track_analyst</t>
  </si>
  <si>
    <t>motunrayo_aderemi</t>
  </si>
  <si>
    <t>uuid:3717fd7a-fe39-4c8d-b20c-9fb596b98d82</t>
  </si>
  <si>
    <t>6/29/2022 15:06:00</t>
  </si>
  <si>
    <t>paul_oyelaran</t>
  </si>
  <si>
    <t>uuid:ef135918-50b7-471e-96fa-ca2893585c3b</t>
  </si>
  <si>
    <t>senior_data_analyst</t>
  </si>
  <si>
    <t>chibuzo_nwankwo</t>
  </si>
  <si>
    <t>uuid:9b40e5b1-ed8e-4fe7-8f08-4c2199ade93a</t>
  </si>
  <si>
    <t>babatunde_afeez</t>
  </si>
  <si>
    <t>uuid:0610b57c-70ae-45b6-bf4a-7b754ad3b46d</t>
  </si>
  <si>
    <t>michael_omotosho</t>
  </si>
  <si>
    <t>uuid:187ba434-e120-4dad-914a-6219a8e5d1d6</t>
  </si>
  <si>
    <t>repair_analyst</t>
  </si>
  <si>
    <t>ogunlade_samuel_tope</t>
  </si>
  <si>
    <t>uuid:9e626004-b353-4e87-aa4b-d3760537ffb9</t>
  </si>
  <si>
    <t>6/30/2022 10:41:00</t>
  </si>
  <si>
    <t>uuid:3881b746-1d99-4844-8cdc-ec16aa51c07c</t>
  </si>
  <si>
    <t>Thursday</t>
  </si>
  <si>
    <t>6/30/2022 10:42:00</t>
  </si>
  <si>
    <t>uuid:6ad10173-c415-4c46-87ef-ac328a895315</t>
  </si>
  <si>
    <t>6/30/2022 10:43:00</t>
  </si>
  <si>
    <t>uuid:4c20b353-5eac-43b6-92f2-adfbe9063162</t>
  </si>
  <si>
    <t>uuid:269e6af2-36f1-4811-ac18-0e8fa5971568</t>
  </si>
  <si>
    <t>uuid:3d6f603d-7e63-47b4-9d2b-74710b0314b2</t>
  </si>
  <si>
    <t>uuid:b7700d58-329d-4d87-ac6d-b9abd13157e1</t>
  </si>
  <si>
    <t>uuid:8cf579d9-92ec-48be-86f1-8c677303a78b</t>
  </si>
  <si>
    <t>6/30/2022 10:44:00</t>
  </si>
  <si>
    <t>uuid:a758c310-75ce-4dd4-a65e-d3487a2c35dd</t>
  </si>
  <si>
    <t>uuid:9de31abc-17eb-48f3-8599-48507180967c</t>
  </si>
  <si>
    <t xml:space="preserve"> </t>
  </si>
  <si>
    <t>uuid:23883d3a-924f-4f8a-9558-5c734766e9fc</t>
  </si>
  <si>
    <t>uuid:2c15aa35-2920-435e-b61f-892567593f14</t>
  </si>
  <si>
    <t>6/30/2022 10:45:00</t>
  </si>
  <si>
    <t>uuid:3932b09f-209b-49cf-9080-62b096518176</t>
  </si>
  <si>
    <t>7/1/2022 14:53:00</t>
  </si>
  <si>
    <t>uuid:4945fcc8-8414-42a6-afec-4e84971e2c5c</t>
  </si>
  <si>
    <t>Friday</t>
  </si>
  <si>
    <t>uuid:fcd42b06-a10f-415a-add6-20ce55e24150</t>
  </si>
  <si>
    <t>7/1/2022 14:54:00</t>
  </si>
  <si>
    <t>uuid:5c0b0c1e-90eb-435b-a036-203c212ebc37</t>
  </si>
  <si>
    <t>uuid:2e43d4d4-f439-401a-af81-f42daf5f1b68</t>
  </si>
  <si>
    <t>uuid:6437ec87-b8c0-4b92-a635-ee78414f3a93</t>
  </si>
  <si>
    <t>uuid:7527e456-e99c-4cb4-b5d7-862c69f92a65</t>
  </si>
  <si>
    <t>uuid:eee21e87-308d-45d0-9bae-3b2483b192f7</t>
  </si>
  <si>
    <t>uuid:dd0c20ad-51ad-4d6c-8915-63c8fe9e41f2</t>
  </si>
  <si>
    <t>7/1/2022 14:55:00</t>
  </si>
  <si>
    <t>uuid:88934388-62d1-4e87-a2db-e2c7a56d1083</t>
  </si>
  <si>
    <t>uuid:5e1e49de-6687-4d2f-9b07-5f1ee81aa178</t>
  </si>
  <si>
    <t>uuid:10b772fa-7fff-4256-97ca-1377164a54f0</t>
  </si>
  <si>
    <t>7/1/2022 15:00:00</t>
  </si>
  <si>
    <t>uuid:f1d6f277-e4d7-498a-9202-53164b27ddf8</t>
  </si>
  <si>
    <t>7/2/2022 15:15:00</t>
  </si>
  <si>
    <t>uuid:20b7206e-3ab4-4a57-984c-5e42962c36ca</t>
  </si>
  <si>
    <t>Saturday</t>
  </si>
  <si>
    <t>7/2/2022 13:42:00</t>
  </si>
  <si>
    <t>uuid:44dd6e01-0942-4ea0-90e3-05d0691db24e</t>
  </si>
  <si>
    <t>uuid:a56ecde0-cbfb-4a8d-bc2a-d0378883546b</t>
  </si>
  <si>
    <t>uuid:3a88d303-0457-4814-85f0-86b867ddf20b</t>
  </si>
  <si>
    <t>7/2/2022 13:43:00</t>
  </si>
  <si>
    <t>uuid:dd704c68-1ab7-4d6d-b357-703f60002e68</t>
  </si>
  <si>
    <t>7/2/2022 13:44:00</t>
  </si>
  <si>
    <t>uuid:cf013ac7-0951-4b9e-a732-a69b8a8731e0</t>
  </si>
  <si>
    <t>uuid:db98d7a5-4578-4293-a24f-e081ef169e10</t>
  </si>
  <si>
    <t>uuid:19890de1-5972-4427-bbc7-a39d341ff602</t>
  </si>
  <si>
    <t>uuid:a3d66936-c942-4ad9-b79a-b8667f3423e5</t>
  </si>
  <si>
    <t>uuid:6feca150-a0de-4b99-826a-43c5de2dd9af</t>
  </si>
  <si>
    <t>uuid:3adde999-4c9c-43cd-9e35-9df707f013b5</t>
  </si>
  <si>
    <t>7/2/2022 13:45:00</t>
  </si>
  <si>
    <t>uuid:c898b07e-6f2f-474b-b704-8847149a223b</t>
  </si>
  <si>
    <t>uuid:7a4a071f-2907-4696-bc49-396c57e3ed9e</t>
  </si>
  <si>
    <t>7/4/2022 9:06:00</t>
  </si>
  <si>
    <t>uuid:77a64439-1c53-4b41-85fd-cf854c32ac59</t>
  </si>
  <si>
    <t>Monday</t>
  </si>
  <si>
    <t>7/4/2022 9:07:00</t>
  </si>
  <si>
    <t>uuid:0612e04b-277d-4c41-b99a-db0b34624220</t>
  </si>
  <si>
    <t>uuid:df163458-f3e0-45ab-ad58-b4a9e373809d</t>
  </si>
  <si>
    <t>uuid:efc0c424-ea3f-48ed-978f-aecf47fd59f9</t>
  </si>
  <si>
    <t>uuid:1179632b-d284-4c7e-87cd-81650b2f5eed</t>
  </si>
  <si>
    <t>7/4/2022 9:15:00</t>
  </si>
  <si>
    <t>uuid:0eb0f006-dae7-4afc-bc99-8123fb96b748</t>
  </si>
  <si>
    <t>uuid:1d86b082-cc15-4321-bc48-b0342cca083f</t>
  </si>
  <si>
    <t>7/4/2022 9:17:00</t>
  </si>
  <si>
    <t>uuid:0cf060a8-c15d-4b31-a5a2-f35258e9da19</t>
  </si>
  <si>
    <t>uuid:498a4841-b836-4551-94da-252c8bdff6b7</t>
  </si>
  <si>
    <t>7/4/2022 12:13:00</t>
  </si>
  <si>
    <t>uuid:7959936e-b73a-4fb5-9d40-215ab8516fea</t>
  </si>
  <si>
    <t>uuid:6634d10a-5444-4bc5-ab43-3039ce0104ab</t>
  </si>
  <si>
    <t>uuid:00c3fbb5-f2d2-4084-a676-e82f9f9de55c</t>
  </si>
  <si>
    <t>7/4/2022 14:57:00</t>
  </si>
  <si>
    <t>uuid:74e4f370-ae7a-4c4e-825f-fc7b67882267</t>
  </si>
  <si>
    <t>7/5/2022 9:48:00</t>
  </si>
  <si>
    <t>uuid:0cfb442d-83e5-4d7e-b373-49d104fa4a74</t>
  </si>
  <si>
    <t>Tuesday</t>
  </si>
  <si>
    <t>uuid:44a58517-a88d-4c04-9a05-2ab952cad53e</t>
  </si>
  <si>
    <t>7/5/2022 9:49:00</t>
  </si>
  <si>
    <t>uuid:15b70917-5428-4b8e-9492-ccb6ad43679f</t>
  </si>
  <si>
    <t>uuid:35bb9362-3098-4da9-9a48-3cfc11c951cc</t>
  </si>
  <si>
    <t>uuid:631e54fb-edba-4d31-b600-215a73313c4e</t>
  </si>
  <si>
    <t>uuid:1b6d9556-d1c8-40f9-8952-e9e5aed49819</t>
  </si>
  <si>
    <t>uuid:cd7630d5-84d2-44d9-a649-240ec2824752</t>
  </si>
  <si>
    <t>uuid:dda6b51e-276a-446f-9ad9-4cf1df6f9d04</t>
  </si>
  <si>
    <t>7/5/2022 9:50:00</t>
  </si>
  <si>
    <t>uuid:853db0e6-1a4d-414c-b8d8-86a42889eb33</t>
  </si>
  <si>
    <t>uuid:57143c3d-249c-407a-8a40-2087767f88b8</t>
  </si>
  <si>
    <t>7/5/2022 12:52:00</t>
  </si>
  <si>
    <t>uuid:13cad755-4f27-4973-962e-38435611694b</t>
  </si>
  <si>
    <t>uuid:47d120da-5623-4773-accb-f3c79c9f8614</t>
  </si>
  <si>
    <t>7/5/2022 12:53:00</t>
  </si>
  <si>
    <t>uuid:045eba06-3c2c-4606-8d4e-24cd7c8cf2c5</t>
  </si>
  <si>
    <t>7/6/2022 9:26:00</t>
  </si>
  <si>
    <t>uuid:efaaf614-e534-415c-a341-3233068d3fdd</t>
  </si>
  <si>
    <t>uuid:0e3afc72-e20e-4eeb-993e-3386aca8e8c5</t>
  </si>
  <si>
    <t>uuid:d1ac4fe5-8907-4c06-bb2a-2fbd747650a3</t>
  </si>
  <si>
    <t>uuid:89598bbf-2b48-4c32-8fa2-dd2ad0d11667</t>
  </si>
  <si>
    <t>uuid:6f72a79f-babc-4359-a9fa-7349aa478e5c</t>
  </si>
  <si>
    <t>7/6/2022 9:29:00</t>
  </si>
  <si>
    <t>uuid:500627f8-5d79-4fbd-85a3-ab90e0b4def2</t>
  </si>
  <si>
    <t>7/6/2022 9:36:00</t>
  </si>
  <si>
    <t>uuid:d60f6180-1e66-408d-8e6a-3b00f72be96b</t>
  </si>
  <si>
    <t>7/6/2022 9:42:00</t>
  </si>
  <si>
    <t>sick/unhealthy</t>
  </si>
  <si>
    <t>I'm having malaria</t>
  </si>
  <si>
    <t>uuid:fc9cd4e4-1473-4f9f-98f2-e63fc4112350</t>
  </si>
  <si>
    <t>None</t>
  </si>
  <si>
    <t>uuid:640ee7e2-efd2-4020-83ce-f0291a2ec4ba</t>
  </si>
  <si>
    <t>7/6/2022 10:19:00</t>
  </si>
  <si>
    <t>uuid:62132f94-5ca7-46e5-895e-24265a1380d5</t>
  </si>
  <si>
    <t>CDS</t>
  </si>
  <si>
    <t>uuid:2758cdd3-7182-461e-9ad6-0f2ec7a3c201</t>
  </si>
  <si>
    <t>7/6/2022 11:12:00</t>
  </si>
  <si>
    <t>uuid:cf43e86a-5d61-4339-89d0-c9eb793c1670</t>
  </si>
  <si>
    <t>7/7/2022 9:18:00</t>
  </si>
  <si>
    <t>uuid:9b0c600d-0a93-483e-a272-60362fb88c04</t>
  </si>
  <si>
    <t>7/7/2022 9:19:00</t>
  </si>
  <si>
    <t>uuid:273cd52c-0b84-4335-b46e-2335fc1395f5</t>
  </si>
  <si>
    <t>uuid:6df135b2-22e2-4282-8514-e74b67cd01db</t>
  </si>
  <si>
    <t>uuid:94ea53b6-da08-407f-821b-8aa96ead2f37</t>
  </si>
  <si>
    <t>7/7/2022 9:25:00</t>
  </si>
  <si>
    <t>uuid:bb807579-a7ba-426e-a796-4148092a1473</t>
  </si>
  <si>
    <t>uuid:ddbb3c95-ba84-4ad3-b98d-32b29d76605a</t>
  </si>
  <si>
    <t>uuid:9314918b-260a-42f7-874e-4e7a0cb4096b</t>
  </si>
  <si>
    <t>7/7/2022 9:26:00</t>
  </si>
  <si>
    <t>uuid:0975a2e4-45bb-48cb-a25b-79002c1d8f98</t>
  </si>
  <si>
    <t>7/7/2022 9:36:00</t>
  </si>
  <si>
    <t>uuid:27eb0978-5d59-4434-aac4-cc9bd8914318</t>
  </si>
  <si>
    <t>7/7/2022 11:25:00</t>
  </si>
  <si>
    <t>uuid:5b57c50e-22f3-4acb-a814-7ca8c2c0ac9e</t>
  </si>
  <si>
    <t>fleet_sales_manager</t>
  </si>
  <si>
    <t>uuid:63cb329c-4adf-41f4-8387-a0c24ba186f2</t>
  </si>
  <si>
    <t>Working from warehouse</t>
  </si>
  <si>
    <t>uuid:c5d5616e-dfc1-4f1d-abe6-aac43bdfde3e</t>
  </si>
  <si>
    <t>7/7/2022 11:26:00</t>
  </si>
  <si>
    <t>uuid:260afcf4-09db-4db5-ad5d-64a13aec0ebb</t>
  </si>
  <si>
    <t>7/8/2022 10:14:00</t>
  </si>
  <si>
    <t>uuid:9bbf3595-40b9-4e6e-8481-ec9c1d740a9a</t>
  </si>
  <si>
    <t>uuid:188f51e9-7a18-4ce2-a49e-14edd2f90614</t>
  </si>
  <si>
    <t>7/8/2022 10:15:00</t>
  </si>
  <si>
    <t>uuid:51ab4c6d-703d-44d2-8b45-0b913b7cf89e</t>
  </si>
  <si>
    <t>uuid:c38141e0-c768-4ae9-8b69-86eae95e35f3</t>
  </si>
  <si>
    <t>uuid:2817969c-cd9a-404c-bb0c-fe0e97241918</t>
  </si>
  <si>
    <t>uuid:51c0827f-e751-4130-ac51-97b33de080d6</t>
  </si>
  <si>
    <t>uuid:7a49ed06-ae91-49e6-a23a-2e946e53c777</t>
  </si>
  <si>
    <t>Malaria, ulcer and typhoid</t>
  </si>
  <si>
    <t>uuid:714fe959-63bd-4aac-9fce-d716eaf20f21</t>
  </si>
  <si>
    <t>7/8/2022 10:16:00</t>
  </si>
  <si>
    <t>uuid:6809aa96-6f34-4b21-a31a-49ca75f2f8d9</t>
  </si>
  <si>
    <t>7/8/2022 10:17:00</t>
  </si>
  <si>
    <t>uuid:0b904623-4410-44d5-962d-c905f9f19b43</t>
  </si>
  <si>
    <t>uuid:b455b5c0-7592-4d7e-8cdf-0d26ad568d7d</t>
  </si>
  <si>
    <t>uuid:cda4540f-ae55-4ee9-81e4-0db7eba8d211</t>
  </si>
  <si>
    <t>uuid:334805b3-916c-45f3-8ffe-94d0f2edbf85</t>
  </si>
  <si>
    <t>7/12/2022 10:49:00</t>
  </si>
  <si>
    <t>uuid:3118919a-2a1c-48f9-8950-95548a82319d</t>
  </si>
  <si>
    <t>Public holiday era: Working from home</t>
  </si>
  <si>
    <t>uuid:3118919a-2a1c-48f9-8950-95548a82319e</t>
  </si>
  <si>
    <t>uuid:3118919a-2a1c-48f9-8950-95548a82319f</t>
  </si>
  <si>
    <t>uuid:3118919a-2a1c-48f9-8950-95548a82319g</t>
  </si>
  <si>
    <t>uuid:3118919a-2a1c-48f9-8950-95548a82319h</t>
  </si>
  <si>
    <t>uuid:3118919a-2a1c-48f9-8950-95548a82319i</t>
  </si>
  <si>
    <t>uuid:3118919a-2a1c-48f9-8950-95548a82319j</t>
  </si>
  <si>
    <t>Public holiday: celebrating fiest</t>
  </si>
  <si>
    <t>uuid:3118919a-2a1c-48f9-8950-95548a82319k</t>
  </si>
  <si>
    <t>uuid:3118919a-2a1c-48f9-8950-95548a82319l</t>
  </si>
  <si>
    <t>uuid:3118919a-2a1c-48f9-8950-95548a82319m</t>
  </si>
  <si>
    <t>uuid:3118919a-2a1c-48f9-8950-95548a82319n</t>
  </si>
  <si>
    <t>uuid:3118919a-2a1c-48f9-8950-95548a82319o</t>
  </si>
  <si>
    <t>7/12/2022 9:49:00</t>
  </si>
  <si>
    <t>uuid:3118919a-2a1c-48f9-8950-95548a82320d</t>
  </si>
  <si>
    <t>7/13/2022 9:15:00</t>
  </si>
  <si>
    <t>uuid:e03b622c-1916-40aa-b83f-e5929c17ce8e</t>
  </si>
  <si>
    <t>uuid:6186eb0e-b69d-47c0-8292-ec2d6bdf4b07</t>
  </si>
  <si>
    <t>uuid:cad58b67-3359-4492-9c42-4c4723a59678</t>
  </si>
  <si>
    <t>uuid:a4353b75-acd4-4d6b-8226-b24b7f65c738</t>
  </si>
  <si>
    <t>7/13/2022 9:48:00</t>
  </si>
  <si>
    <t>uuid:1a2189e0-142e-465c-b7c1-b5c8ab86e76b</t>
  </si>
  <si>
    <t>7/13/2022 9:49:00</t>
  </si>
  <si>
    <t>uuid:6c7b7bd0-cf31-4f85-be2d-a46f46d956c3</t>
  </si>
  <si>
    <t>7/13/2022 10:10:00</t>
  </si>
  <si>
    <t>On Assignment</t>
  </si>
  <si>
    <t>uuid:966278e8-8b59-4f3c-903c-e8b32db9f16c</t>
  </si>
  <si>
    <t>7/13/2022 10:23:00</t>
  </si>
  <si>
    <t>uuid:2d9f58b3-5528-4c4f-8efc-dd20a83df52a</t>
  </si>
  <si>
    <t>7/13/2022 11:00:00</t>
  </si>
  <si>
    <t>Done with NYSC</t>
  </si>
  <si>
    <t>uuid:3ddc01a4-1cdf-4115-a01e-8623b89c26cf</t>
  </si>
  <si>
    <t>uuid:305b151e-306a-4af6-b6b7-bb8a844c1bb0</t>
  </si>
  <si>
    <t>uuid:098127fe-5ca1-4800-8e78-92ca0cac84ce</t>
  </si>
  <si>
    <t>7/14/2022 9:28:00</t>
  </si>
  <si>
    <t>uuid:0f8c9795-d237-46b5-b999-297a975043c7</t>
  </si>
  <si>
    <t>uuid:71dce236-6171-4fe1-81e7-83631190136a</t>
  </si>
  <si>
    <t>uuid:12173e8e-b458-4575-b780-f699c63bab90</t>
  </si>
  <si>
    <t>7/14/2022 9:29:00</t>
  </si>
  <si>
    <t>uuid:38306bf1-49c4-4c82-8ed4-c37db0e6fd91</t>
  </si>
  <si>
    <t>uuid:217fb744-72a3-4a58-aac1-cfa21e1934fe</t>
  </si>
  <si>
    <t>uuid:083079e6-2a67-4da7-8997-f9607564e59d</t>
  </si>
  <si>
    <t>7/14/2022 9:33:00</t>
  </si>
  <si>
    <t>uuid:9ad3aa62-1ff9-4f27-b49b-5f713950c8cc</t>
  </si>
  <si>
    <t>7/14/2022 10:39:00</t>
  </si>
  <si>
    <t>uuid:ef842822-36ba-4529-8f86-342f55d26590</t>
  </si>
  <si>
    <t>7/14/2022 10:40:00</t>
  </si>
  <si>
    <t>uuid:eb359bd0-8a96-46e7-9c99-8a32a4a7d2ac</t>
  </si>
  <si>
    <t>uuid:e99b9150-6c3d-4464-84db-cc52220636cd</t>
  </si>
  <si>
    <t>uuid:8ef709c9-d3d3-49b6-92c0-5bbb76d2de07</t>
  </si>
  <si>
    <t>7/14/2022 10:41:00</t>
  </si>
  <si>
    <t>uuid:2bd76f8b-27d8-4133-8592-71335fea42de</t>
  </si>
  <si>
    <t>7/14/2022 10:42:00</t>
  </si>
  <si>
    <t>Illness</t>
  </si>
  <si>
    <t>uuid:2549c50f-7ed8-45f5-96ba-81dbb12cce68</t>
  </si>
  <si>
    <t>7/15/2022 9:13:00</t>
  </si>
  <si>
    <t>uuid:ca83d170-af6e-4e0c-a60e-9a8c39bccc90</t>
  </si>
  <si>
    <t>uuid:2b7fa886-cb48-4c63-b615-cd7e1674e1b8</t>
  </si>
  <si>
    <t>uuid:ba92a868-13fe-45ff-972b-6c7663cf7753</t>
  </si>
  <si>
    <t>uuid:6157f838-33f8-40b3-95dd-bcdc9a43f541</t>
  </si>
  <si>
    <t>7/15/2022 9:14:00</t>
  </si>
  <si>
    <t>uuid:ee232232-5044-4f11-9b96-740ec03714b7</t>
  </si>
  <si>
    <t>uuid:7a2c49a3-22cb-4284-a184-fbd102a70325</t>
  </si>
  <si>
    <t>7/15/2022 9:15:00</t>
  </si>
  <si>
    <t>uuid:4fc94c9e-3406-4a86-8fb2-dcaf2f797926</t>
  </si>
  <si>
    <t>uuid:c3435282-5a35-4443-acda-a047289a5aff</t>
  </si>
  <si>
    <t>uuid:93694d31-2813-4a7e-91bd-2c133b7fd558</t>
  </si>
  <si>
    <t>uuid:f1af9e1f-8a70-4d4f-b02f-556418a08636</t>
  </si>
  <si>
    <t>uuid:dbd2da1f-2d7b-4a96-b35f-3855343e8c5d</t>
  </si>
  <si>
    <t>7/15/2022 9:16:00</t>
  </si>
  <si>
    <t>uuid:aee09492-0436-41cd-975f-eb708592c672</t>
  </si>
  <si>
    <t>uuid:938ba51a-a210-4e80-8bf3-22f882e7accf</t>
  </si>
  <si>
    <t>7/16/2022 9:55:00</t>
  </si>
  <si>
    <t>uuid:0a251665-6fa8-4e87-82fe-8ff076cb4194</t>
  </si>
  <si>
    <t>uuid:90924034-bdbe-446f-ab38-7eb1f5a48f2b</t>
  </si>
  <si>
    <t>7/16/2022 9:56:00</t>
  </si>
  <si>
    <t>uuid:bf023770-46c8-44d1-831b-e6ed5aa394f9</t>
  </si>
  <si>
    <t>uuid:9c68de88-1a8c-4cf0-b04f-1d300ee80285</t>
  </si>
  <si>
    <t>uuid:0d406931-cacc-4d63-98f9-44c2fce87bd6</t>
  </si>
  <si>
    <t>7/16/2022 9:57:00</t>
  </si>
  <si>
    <t>uuid:05d9e456-fbd4-4717-9bf5-5443e1dab6c8</t>
  </si>
  <si>
    <t>Doesn't come on Saturday</t>
  </si>
  <si>
    <t>uuid:dd74ef6a-a5f5-456d-a054-ce8b9428bb54</t>
  </si>
  <si>
    <t>Travelled to visit family</t>
  </si>
  <si>
    <t>uuid:cdf77e2e-6e3a-4e1d-a6c7-c94d3d051c7a</t>
  </si>
  <si>
    <t>7/16/2022 9:58:00</t>
  </si>
  <si>
    <t>Travelled to Lagos</t>
  </si>
  <si>
    <t>uuid:d35aad5b-e65a-4972-87cb-8aa79cb6842a</t>
  </si>
  <si>
    <t>Travelled</t>
  </si>
  <si>
    <t>uuid:2092bc84-accd-4b61-8a92-b51be42f2808</t>
  </si>
  <si>
    <t>7/16/2022 9:59:00</t>
  </si>
  <si>
    <t>Malaria</t>
  </si>
  <si>
    <t>uuid:b42e9f2f-cd01-4f22-909e-e902b53135f9</t>
  </si>
  <si>
    <t>uuid:17b88afa-d50b-4713-8f3e-a8d72f2e64f3</t>
  </si>
  <si>
    <t>uuid:d60eacd9-3c00-4a60-b48d-379e2b038eb5</t>
  </si>
  <si>
    <t>7/18/2022 9:06:00</t>
  </si>
  <si>
    <t>uuid:2d31fa6d-35a2-4342-bd86-a24912f919cd</t>
  </si>
  <si>
    <t>uuid:0be042e9-9a22-42ac-a0c0-b95fe6f169c2</t>
  </si>
  <si>
    <t>uuid:0517fffb-c6fc-4e1f-9cc8-f8eb6f609bf7</t>
  </si>
  <si>
    <t>uuid:63525884-99c6-43c8-9d20-c1e3b10fa25e</t>
  </si>
  <si>
    <t>7/18/2022 9:23:00</t>
  </si>
  <si>
    <t>uuid:7d3dd25d-3687-4941-a3dc-4435ddb378de</t>
  </si>
  <si>
    <t>uuid:748a5959-2891-4a27-a7a6-117448658326</t>
  </si>
  <si>
    <t>7/18/2022 9:42:00</t>
  </si>
  <si>
    <t>uuid:58e5cd72-d208-4376-ba2a-1a516270be01</t>
  </si>
  <si>
    <t>7/18/2022 9:45:00</t>
  </si>
  <si>
    <t>uuid:094dca55-8fee-4539-96ce-5e41cccea158</t>
  </si>
  <si>
    <t>7/18/2022 10:06:00</t>
  </si>
  <si>
    <t>uuid:6f50d5e8-6c62-4081-be0f-37c69c51d2da</t>
  </si>
  <si>
    <t>7/18/2022 10:07:00</t>
  </si>
  <si>
    <t>Working from home</t>
  </si>
  <si>
    <t>uuid:4d92397c-41c3-413e-b173-5d29489d4176</t>
  </si>
  <si>
    <t>7/18/2022 11:26:00</t>
  </si>
  <si>
    <t>uuid:f8897117-54dd-439c-83e5-a33360ff9c83</t>
  </si>
  <si>
    <t>7/18/2022 11:32:00</t>
  </si>
  <si>
    <t>uuid:51977308-45fe-442f-953b-c2b3e440b4e4</t>
  </si>
  <si>
    <t>uuid:e1bbb9d7-31e3-4d07-aaf7-c6f34182479f</t>
  </si>
  <si>
    <t>7/19/2022 9:56:00</t>
  </si>
  <si>
    <t>uuid:c9522e38-ca2e-4088-9430-a2f83cd83cb1</t>
  </si>
  <si>
    <t>uuid:37295384-f4e8-465b-a148-d583559cd6a9</t>
  </si>
  <si>
    <t>7/19/2022 9:57:00</t>
  </si>
  <si>
    <t>uuid:ae4c85d0-2df8-48eb-abe6-bde1edad4300</t>
  </si>
  <si>
    <t>uuid:b57bba05-93d9-4122-8fb9-6cb306c6262b</t>
  </si>
  <si>
    <t>uuid:36257f4f-5405-4242-bbd3-c6c08c6468d1</t>
  </si>
  <si>
    <t>7/19/2022 9:58:00</t>
  </si>
  <si>
    <t>uuid:9f327b51-0f66-4ddd-81c6-e0206d988df3</t>
  </si>
  <si>
    <t>uuid:a6a5a797-348b-49c2-a76e-0ef498a52b6f</t>
  </si>
  <si>
    <t>uuid:6511163c-bd1c-4e06-a333-39296bd39ba4</t>
  </si>
  <si>
    <t>7/19/2022 10:06:00</t>
  </si>
  <si>
    <t>uuid:a0d2bb20-2b81-430a-a336-310159240983</t>
  </si>
  <si>
    <t>7/19/2022 10:11:00</t>
  </si>
  <si>
    <t>uuid:9832a8d0-c410-4dec-aae9-5393906ca8bc</t>
  </si>
  <si>
    <t>uuid:40e1738d-08f5-4252-896d-b08a05a4cc79</t>
  </si>
  <si>
    <t>7/19/2022 10:12:00</t>
  </si>
  <si>
    <t>uuid:56ce2c7d-ff18-41dd-8a14-2b6843ed5f55</t>
  </si>
  <si>
    <t>uuid:4b07a654-4196-4aab-8bf9-04c34228a375</t>
  </si>
  <si>
    <t>7/20/2022 9:49:00</t>
  </si>
  <si>
    <t>uuid:3503e942-2e00-449b-b37f-6e2d64a27c6d</t>
  </si>
  <si>
    <t>uuid:f0c30e05-c0d7-45fa-8bba-3c0afb08f27a</t>
  </si>
  <si>
    <t>uuid:44e896bf-b515-474b-a34d-e9ec0876e1f2</t>
  </si>
  <si>
    <t>uuid:643662c0-ac6c-4fc6-bcc0-e4a605bec312</t>
  </si>
  <si>
    <t>uuid:7460bb68-f43e-41b7-99f3-4be82fe3a69e</t>
  </si>
  <si>
    <t>uuid:1a743fd3-7e6a-436e-9941-409869bd1cb7</t>
  </si>
  <si>
    <t>7/20/2022 9:50:00</t>
  </si>
  <si>
    <t>uuid:c80430a1-9d88-44b0-9571-1b1b80e4b1f1</t>
  </si>
  <si>
    <t>uuid:f197e6e8-7d19-4620-8896-32aa9952b381</t>
  </si>
  <si>
    <t>uuid:a2004752-d3c9-48e0-a9c6-4eef10ceb626</t>
  </si>
  <si>
    <t>uuid:084a18e9-3ba4-4a41-af48-3775ca491aeb</t>
  </si>
  <si>
    <t>uuid:82bc3b09-ae1e-4f16-aefa-71aac97dcfa1</t>
  </si>
  <si>
    <t>uuid:025f2c74-501c-484b-a991-d4741963ad3c</t>
  </si>
  <si>
    <t>7/20/2022 9:51:00</t>
  </si>
  <si>
    <t>Not feeling too fine</t>
  </si>
  <si>
    <t>uuid:2837fb18-560c-4d16-8128-64445f4d551a</t>
  </si>
  <si>
    <t>7/21/2022 9:41:00</t>
  </si>
  <si>
    <t>uuid:e61128e5-8182-4ed3-b12e-c7ffa2091fe9</t>
  </si>
  <si>
    <t>uuid:0421863d-f0ea-44e1-9b0f-235f034aec71</t>
  </si>
  <si>
    <t>uuid:a0b135d8-55bb-4216-a3bb-b3e1a7f97199</t>
  </si>
  <si>
    <t>7/21/2022 9:42:00</t>
  </si>
  <si>
    <t>uuid:7f2f340d-26f5-46b8-b63d-fad963687527</t>
  </si>
  <si>
    <t>uuid:137030cf-9615-4b69-a2f8-3d755a0d7184</t>
  </si>
  <si>
    <t>uuid:d56f30e5-5d34-401b-b411-e82609ea8a89</t>
  </si>
  <si>
    <t>uuid:b4102933-0aa9-4065-831c-e100bc291ea3</t>
  </si>
  <si>
    <t>uuid:d4f99373-aa79-47d3-b243-c6fac9a4581b</t>
  </si>
  <si>
    <t>uuid:de037c28-df2f-4e2c-b19c-a810c0eed85c</t>
  </si>
  <si>
    <t>uuid:f8892612-36c5-4c8f-b19c-116bb1c4ae39</t>
  </si>
  <si>
    <t>7/21/2022 9:43:00</t>
  </si>
  <si>
    <t>uuid:39b5c8d2-1291-470e-afab-43af5f287a74</t>
  </si>
  <si>
    <t>uuid:cdddff61-3601-44a7-811f-06e5812e6375</t>
  </si>
  <si>
    <t>7/21/2022 10:53:00</t>
  </si>
  <si>
    <t>uuid:0f145365-c9d6-42d5-a603-a8b84020c323</t>
  </si>
  <si>
    <t>7/22/2022 9:45:00</t>
  </si>
  <si>
    <t>uuid:a879af83-64cc-4f65-aed0-03c9ee7aaaf7</t>
  </si>
  <si>
    <t>uuid:954f854a-bb23-43cc-b18b-1efdfa9f9e8c</t>
  </si>
  <si>
    <t>uuid:c730b277-195d-491b-968a-e27e6f23ce0e</t>
  </si>
  <si>
    <t>uuid:72c90071-b929-4ba5-83a8-003932a166fe</t>
  </si>
  <si>
    <t>uuid:e745b247-284d-4277-bea6-0b3aedd4e0f4</t>
  </si>
  <si>
    <t>7/22/2022 9:46:00</t>
  </si>
  <si>
    <t>uuid:ddb99a0e-bede-46d2-921d-afbf0dc9161c</t>
  </si>
  <si>
    <t>uuid:d0f584b6-78ab-437d-a2a1-10a2a5c7d3e3</t>
  </si>
  <si>
    <t>uuid:9e423249-a8bd-45c1-88fc-9ba183cdb2f8</t>
  </si>
  <si>
    <t>uuid:101a3dd0-05b6-4984-9f4d-fc83eab70f0b</t>
  </si>
  <si>
    <t>uuid:0f7c1e58-471d-4535-bb73-7bc7dbf9be22</t>
  </si>
  <si>
    <t>uuid:7eed3555-a743-4d88-85cb-38d0c205f869</t>
  </si>
  <si>
    <t>7/22/2022 9:48:00</t>
  </si>
  <si>
    <t>uuid:90a0bbad-c384-4b78-8331-35e7b12afb41</t>
  </si>
  <si>
    <t>uuid:cdcc76bf-b401-4bbe-938a-062adc62595c</t>
  </si>
  <si>
    <t>7/23/2022 11:05:00</t>
  </si>
  <si>
    <t>uuid:a13af41f-0bd6-47a9-9eaa-2e01ee31e136</t>
  </si>
  <si>
    <t>uuid:ae411f78-e579-46e9-b4e1-a61085ab81de</t>
  </si>
  <si>
    <t>uuid:1e304b3f-defd-4fc7-b305-c4d14c04ed75</t>
  </si>
  <si>
    <t>uuid:ddeabbb3-575e-4663-963c-90b7d94faed6</t>
  </si>
  <si>
    <t>uuid:0055ccff-ce46-43be-80d7-5d1095266178</t>
  </si>
  <si>
    <t>7/23/2022 11:06:00</t>
  </si>
  <si>
    <t>uuid:774cb3b9-d037-455e-b80a-c25ff825a209</t>
  </si>
  <si>
    <t>Doesn't work on Saturdays</t>
  </si>
  <si>
    <t>uuid:c0ad3ba8-7acd-42a5-93dc-bf67ee3ed97b</t>
  </si>
  <si>
    <t>uuid:fb6ac389-06b9-4d71-b3b0-bd477cd62d9a</t>
  </si>
  <si>
    <t>uuid:71e994d6-d3f1-4565-b1ff-983e4cc91500</t>
  </si>
  <si>
    <t>uuid:bf8985cb-49ec-497f-8088-df88a26424d9</t>
  </si>
  <si>
    <t>7/23/2022 11:07:00</t>
  </si>
  <si>
    <t>Travelled for wedding</t>
  </si>
  <si>
    <t>uuid:78d6424c-0318-4558-b745-c84f5280b5f2</t>
  </si>
  <si>
    <t>uuid:760346cf-6522-4764-a02a-64d7df2a9e55</t>
  </si>
  <si>
    <t>uuid:62fc28a3-cdcb-4752-a29a-5ead9c2e1b5c</t>
  </si>
  <si>
    <t>7/25/2022 9:29:00</t>
  </si>
  <si>
    <t>uuid:aecbd4c4-d659-4764-96b7-53f8e84902e0</t>
  </si>
  <si>
    <t>7/25/2022 9:30:00</t>
  </si>
  <si>
    <t>uuid:bd8e5670-d06c-4942-bad9-b3c15c0e07d7</t>
  </si>
  <si>
    <t>uuid:7f2918cb-b9db-42f1-bc82-b376a06b0ffb</t>
  </si>
  <si>
    <t>uuid:5b598697-2113-4f97-ba04-5fc219aff0d1</t>
  </si>
  <si>
    <t>uuid:7239c837-9fd9-423a-9694-1b94f73f91ca</t>
  </si>
  <si>
    <t>uuid:333a0be3-c09e-4e77-8f8c-61eb393f477f</t>
  </si>
  <si>
    <t>uuid:fb57b6e2-0ce7-4772-a6d4-84c8a5689f43</t>
  </si>
  <si>
    <t>on_leave</t>
  </si>
  <si>
    <t>Annual leave</t>
  </si>
  <si>
    <t>uuid:af0ce1b5-e999-421f-8b4f-34799401ada3</t>
  </si>
  <si>
    <t>7/25/2022 9:34:00</t>
  </si>
  <si>
    <t>uuid:ce59cb3b-6eaf-428b-a38f-90510283c519</t>
  </si>
  <si>
    <t>7/25/2022 10:49:00</t>
  </si>
  <si>
    <t>uuid:83b0d2d1-c016-4c9b-a6e9-002bdd23cf8b</t>
  </si>
  <si>
    <t>uuid:94f74a77-3b11-4d9b-bbd6-a27a6765fcd2</t>
  </si>
  <si>
    <t>7/25/2022 10:50:00</t>
  </si>
  <si>
    <t>uuid:057990ee-6bf1-46c7-924d-302b1be828c6</t>
  </si>
  <si>
    <t>uuid:4bd136e6-03ad-42e6-9ff8-d57182ec7529</t>
  </si>
  <si>
    <t>7/26/2022 9:31:00</t>
  </si>
  <si>
    <t>uuid:4dcb6c67-fe84-4e21-aafd-6eb3f44b5373</t>
  </si>
  <si>
    <t>7/26/2022 9:32:00</t>
  </si>
  <si>
    <t>uuid:1ddcf1ce-ac0d-44fa-a2e7-d441aae5ff15</t>
  </si>
  <si>
    <t>7/26/2022 9:33:00</t>
  </si>
  <si>
    <t>uuid:c33b246c-9d4d-41cd-85ab-95dbf6acf966</t>
  </si>
  <si>
    <t>uuid:aa48a2fe-3bbf-44db-adda-57d9534110aa</t>
  </si>
  <si>
    <t>uuid:25468463-14f6-44ee-aa23-274f4058a620</t>
  </si>
  <si>
    <t>7/26/2022 9:35:00</t>
  </si>
  <si>
    <t>uuid:2fc01c9d-d195-4d35-b62d-87fc37bd13ff</t>
  </si>
  <si>
    <t>7/26/2022 9:57:00</t>
  </si>
  <si>
    <t>uuid:d3110d6b-5391-4a94-9b55-dac3fb374298</t>
  </si>
  <si>
    <t>uuid:a0cdafea-23a4-4374-86c6-a4d0704ee10a</t>
  </si>
  <si>
    <t>uuid:6db8d546-dbc2-476d-9c8a-b8d21e9cf292</t>
  </si>
  <si>
    <t>uuid:63a1966a-a130-4cfc-8c46-bf35a1136db7</t>
  </si>
  <si>
    <t>7/26/2022 9:58:00</t>
  </si>
  <si>
    <t>uuid:129c844c-34ba-4c08-8a61-63adcb80455b</t>
  </si>
  <si>
    <t>uuid:ca8374e9-1136-4d50-aa38-536cd620fe0a</t>
  </si>
  <si>
    <t>uuid:5299f76e-127a-4fe7-8af2-89f6414a425f</t>
  </si>
  <si>
    <t>7/27/2022 14:21:00</t>
  </si>
  <si>
    <t>uuid:223e7293-7d01-422a-a20d-761b3f1db61d</t>
  </si>
  <si>
    <t>uuid:a4dce1a3-4e18-465c-9dea-19480e447888</t>
  </si>
  <si>
    <t>uuid:7de44c8c-6ba6-49e3-8b4e-2531c0dd77e5</t>
  </si>
  <si>
    <t>uuid:f4fa31b6-078e-4a1f-9219-45b1dc14778a</t>
  </si>
  <si>
    <t>uuid:d5a6ff19-b6e5-44ed-921c-63133921233f</t>
  </si>
  <si>
    <t>uuid:1c941761-6592-411f-b4ee-c83535409362</t>
  </si>
  <si>
    <t>uuid:f3209529-b660-4ddf-abae-22c5295d81e2</t>
  </si>
  <si>
    <t>7/27/2022 14:22:00</t>
  </si>
  <si>
    <t>uuid:2a304f4f-f033-4cd5-a056-737299ef8e19</t>
  </si>
  <si>
    <t>uuid:74f7a943-772d-470c-a11a-6263779e1ad9</t>
  </si>
  <si>
    <t>uuid:8e71f711-7afd-43d9-8b47-e73cd7bafe28</t>
  </si>
  <si>
    <t>uuid:16c83c87-260a-43b9-9df9-e0bd2fc7c1fe</t>
  </si>
  <si>
    <t>uuid:d0ab2c26-12ad-4dba-b453-4a9e088db6fc</t>
  </si>
  <si>
    <t>uuid:e7f248be-52e8-46a5-9d18-050df0b5dcb0</t>
  </si>
  <si>
    <t>7/28/2022 9:12:00</t>
  </si>
  <si>
    <t>uuid:4a1e237c-e14a-46dd-9905-bbf80a071fd8</t>
  </si>
  <si>
    <t>uuid:7fe346d6-d95f-43a2-ab8f-066f7ccf89f7</t>
  </si>
  <si>
    <t>uuid:30cdac65-e19c-40d8-a6d8-8a283f19d19c</t>
  </si>
  <si>
    <t>uuid:73d55418-4acc-47b8-b8fe-42bbcc624ef2</t>
  </si>
  <si>
    <t>7/28/2022 9:13:00</t>
  </si>
  <si>
    <t>Surgery</t>
  </si>
  <si>
    <t>uuid:d4dae25c-7da0-438f-a1d9-20a7a36c36fe</t>
  </si>
  <si>
    <t>7/28/2022 9:14:00</t>
  </si>
  <si>
    <t>uuid:c8e02bb2-642a-4127-ab1e-66b66474f278</t>
  </si>
  <si>
    <t>uuid:071a029c-27ac-407d-a13b-5d0fce6a5a80</t>
  </si>
  <si>
    <t>uuid:18a03442-ada0-4504-8455-9609186a6d6d</t>
  </si>
  <si>
    <t>uuid:cb7ad0dd-fb92-4803-9dc3-548e0b1fb29e</t>
  </si>
  <si>
    <t>7/28/2022 9:15:00</t>
  </si>
  <si>
    <t>uuid:75493ad7-8c60-45f2-b662-47990da9c6bc</t>
  </si>
  <si>
    <t>uuid:b061f2b5-70f4-4e5c-8d20-e99f16a5670b</t>
  </si>
  <si>
    <t>7/28/2022 9:17:00</t>
  </si>
  <si>
    <t>uuid:05672b3c-d9d2-4c30-a972-ff3143294a35</t>
  </si>
  <si>
    <t>uuid:d0f8e759-d568-481d-852d-8d765fcebfba</t>
  </si>
  <si>
    <t>7/29/2022 9:38:00</t>
  </si>
  <si>
    <t>uuid:6bc7a89e-1f1d-4571-8d78-0cdd780461cb</t>
  </si>
  <si>
    <t>uuid:c1183be0-e2a8-41d0-a6fc-6e2210ee7ea2</t>
  </si>
  <si>
    <t>uuid:aece4809-5ad9-49a4-9215-fe220b5811e6</t>
  </si>
  <si>
    <t>7/29/2022 9:39:00</t>
  </si>
  <si>
    <t>uuid:b48a058e-0358-42ae-9e38-3b7258082617</t>
  </si>
  <si>
    <t>uuid:fe90adad-a2c6-4fb5-a351-e754bd121418</t>
  </si>
  <si>
    <t>7/29/2022 9:40:00</t>
  </si>
  <si>
    <t>uuid:25527228-094d-46f3-b3ec-18f560bd200c</t>
  </si>
  <si>
    <t>uuid:f2cfc3e0-4f85-4212-8ea2-496d7b00c3b8</t>
  </si>
  <si>
    <t>uuid:f644eeb5-5294-4a09-a711-803b58f803b6</t>
  </si>
  <si>
    <t>uuid:bd7d1a88-df8d-4aa5-9535-8ebe7278f094</t>
  </si>
  <si>
    <t>uuid:d306f280-fe2b-493b-be8e-f6bd371fe0df</t>
  </si>
  <si>
    <t>uuid:19152a8d-514f-4e5f-aac4-838b9c26a0f9</t>
  </si>
  <si>
    <t>uuid:15881e59-8517-4ff6-a90c-b492cb8bc281</t>
  </si>
  <si>
    <t>7/29/2022 9:41:00</t>
  </si>
  <si>
    <t>uuid:a92240cf-6b42-49e2-aafd-d634832b9f80</t>
  </si>
  <si>
    <t>7/30/2022 13:15:00</t>
  </si>
  <si>
    <t>uuid:32969141-613d-4a86-932b-aac1ca859225</t>
  </si>
  <si>
    <t>uuid:4f4b46c9-4fbb-4f6b-a3f7-020ef2cde4bd</t>
  </si>
  <si>
    <t>uuid:0620eab9-d354-47c6-952b-00ab675f0397</t>
  </si>
  <si>
    <t>7/30/2022 13:16:00</t>
  </si>
  <si>
    <t>uuid:185adae3-5cd0-4d10-a541-3d02c19b51cc</t>
  </si>
  <si>
    <t>uuid:2cb3122b-9fa6-4c21-850c-0e66a85a5eb0</t>
  </si>
  <si>
    <t>uuid:2e6e082b-2897-4f1c-b321-d29edbd08e9b</t>
  </si>
  <si>
    <t>Don't work on Saturdays</t>
  </si>
  <si>
    <t>uuid:a4df49b0-fc15-4e07-878f-51fe5edb7b29</t>
  </si>
  <si>
    <t>7/30/2022 13:17:00</t>
  </si>
  <si>
    <t>uuid:66bd808b-b262-4797-a380-018b56b468cb</t>
  </si>
  <si>
    <t>uuid:49a8242b-825e-4df8-9088-477cb0aea0b1</t>
  </si>
  <si>
    <t>uuid:8c35e807-0cc3-4fff-8553-d5abafd4af82</t>
  </si>
  <si>
    <t>7/30/2022 13:18:00</t>
  </si>
  <si>
    <t>uuid:05aa0f10-8c1e-45b3-ab4a-a41e69bcb3e5</t>
  </si>
  <si>
    <t>uuid:45da3ff5-469a-4804-9d84-c22333530bfe</t>
  </si>
  <si>
    <t>uuid:f5ff674f-737f-438e-b2a4-e11188a56da4</t>
  </si>
  <si>
    <t>8/1/2022 8:47:00</t>
  </si>
  <si>
    <t>uuid:01707fc3-f50d-4b8e-a17c-3ac070b2b112</t>
  </si>
  <si>
    <t>8/1/2022 8:48:00</t>
  </si>
  <si>
    <t>titilayo_esther</t>
  </si>
  <si>
    <t>uuid:2b1e5e52-ceee-4f27-8a65-be9b08eae917</t>
  </si>
  <si>
    <t>uuid:1a6728c4-d557-4e6a-aae0-b675f1c03dc1</t>
  </si>
  <si>
    <t>uuid:af9b0b77-2725-40a4-8ff3-9ceb6b2b9c31</t>
  </si>
  <si>
    <t>uuid:58c425f2-8140-485e-8aed-6d8ee4f1b4c8</t>
  </si>
  <si>
    <t>uuid:6d81dcdb-ccfa-4b1f-87bc-5b25b09dfc16</t>
  </si>
  <si>
    <t>8/1/2022 9:15:00</t>
  </si>
  <si>
    <t>uuid:6744f7c3-24e5-4e9b-ad66-4b7fcb848d60</t>
  </si>
  <si>
    <t>8/1/2022 9:16:00</t>
  </si>
  <si>
    <t>uuid:4d3313ea-f2f3-4473-aee7-675f4c6cc1c7</t>
  </si>
  <si>
    <t>uuid:2ebabaa6-5b26-4bc8-a2a0-83ab217bf7d5</t>
  </si>
  <si>
    <t>uuid:67dfeefe-7e89-4a3a-a411-b6cdd0da9977</t>
  </si>
  <si>
    <t>8/1/2022 9:17:00</t>
  </si>
  <si>
    <t>uuid:f159bf36-705e-49e1-9484-853fc0822472</t>
  </si>
  <si>
    <t>uuid:ee883e8c-e209-4d14-b94f-1175c7ad20df</t>
  </si>
  <si>
    <t>8/1/2022 9:18:00</t>
  </si>
  <si>
    <t>uuid:809d7e94-a0b6-4a06-bd62-55cde7576460</t>
  </si>
  <si>
    <t>8/1/2022 10:21:00</t>
  </si>
  <si>
    <t>oluwaseun_corper</t>
  </si>
  <si>
    <t>uuid:066d53fc-53ed-42b7-b61a-b82e8601818c</t>
  </si>
  <si>
    <t>8/2/2022 9:41:00</t>
  </si>
  <si>
    <t>uuid:dc95e8a9-687b-4962-980d-32121a1206df</t>
  </si>
  <si>
    <t>8/2/2022 9:48:00</t>
  </si>
  <si>
    <t>uuid:f3eec3ab-d2a1-4f1e-8ef8-97e41c4429f5</t>
  </si>
  <si>
    <t>uuid:e13100b7-81c8-4d2a-884f-d0b0d41b76ad</t>
  </si>
  <si>
    <t>uuid:afcea3b5-edca-47ee-bd67-365700dc0fd8</t>
  </si>
  <si>
    <t>uuid:ed56897f-f2c1-4c79-ae44-c31577629f30</t>
  </si>
  <si>
    <t>uuid:eb6370eb-0014-4bc1-94db-898b868f684c</t>
  </si>
  <si>
    <t>8/2/2022 9:49:00</t>
  </si>
  <si>
    <t>uuid:5ee802ae-ff20-4fac-93d6-4a8d7eac1ff2</t>
  </si>
  <si>
    <t>uuid:e9eb553f-471e-45da-8a4c-f0fe902c5370</t>
  </si>
  <si>
    <t>uuid:15272b01-1e75-4e48-a7f1-3bb99a28fc04</t>
  </si>
  <si>
    <t>uuid:baf13f18-7499-4f7b-92ea-2971f8d7c8e0</t>
  </si>
  <si>
    <t>8/2/2022 9:50:00</t>
  </si>
  <si>
    <t>uuid:fb8b8243-cdb7-400f-82da-1e0f02137e0f</t>
  </si>
  <si>
    <t>uuid:7d6bb6d8-2d06-4d1f-b10e-08b0c003d9c3</t>
  </si>
  <si>
    <t>uuid:85caa203-b088-4586-a604-ad32be4d187e</t>
  </si>
  <si>
    <t>uuid:d12ac090-68d5-4c4f-b48b-7c96403c79d4</t>
  </si>
  <si>
    <t>8/3/2022 9:32:00</t>
  </si>
  <si>
    <t>uuid:c91b443f-1caf-4688-8d44-762ecc8c29b8</t>
  </si>
  <si>
    <t>uuid:553bdf73-bc66-4493-a14c-7673b43fa02b</t>
  </si>
  <si>
    <t>uuid:8b935bf5-253d-48f7-88eb-50ebea15f783</t>
  </si>
  <si>
    <t>uuid:d84ef63f-6841-49e6-8e0c-76b435c742c1</t>
  </si>
  <si>
    <t>uuid:bc1fb619-de13-488c-8aea-11ed1af06741</t>
  </si>
  <si>
    <t>uuid:e12d6026-0480-4a92-b12d-3c62e1d2f37d</t>
  </si>
  <si>
    <t>8/3/2022 9:33:00</t>
  </si>
  <si>
    <t>uuid:8dbeecd7-8c62-41b5-a184-dc822d81caae</t>
  </si>
  <si>
    <t>uuid:60426575-b902-4531-92ed-c7a18b483c5e</t>
  </si>
  <si>
    <t>uuid:1f75b7bf-0b85-4b4a-9e8a-b4c6434d328d</t>
  </si>
  <si>
    <t>uuid:0304e9e1-1fdd-4bb6-9ace-f7573c614e26</t>
  </si>
  <si>
    <t>8/3/2022 9:34:00</t>
  </si>
  <si>
    <t>uuid:1060c2fc-9a5b-41b7-9bbf-b5941ccb84bf</t>
  </si>
  <si>
    <t>uuid:10c62a07-0541-48c8-8a1a-b03c366b67d9</t>
  </si>
  <si>
    <t>8/3/2022 9:35:00</t>
  </si>
  <si>
    <t>uuid:8dc33c88-95d6-4b55-9b06-0dddcef00301</t>
  </si>
  <si>
    <t>8/4/2022 10:00:00</t>
  </si>
  <si>
    <t>uuid:fcf2bbb9-6419-4c4d-af85-12df980a0e2c</t>
  </si>
  <si>
    <t>8/4/2022 10:01:00</t>
  </si>
  <si>
    <t>uuid:e3b83acd-8439-40d8-bcbb-4b7383403495</t>
  </si>
  <si>
    <t>uuid:90fa63e3-bffe-404a-899f-1d72fdd4602f</t>
  </si>
  <si>
    <t>uuid:dd100345-ec7a-413f-9d35-20699b71a93a</t>
  </si>
  <si>
    <t>uuid:070246e1-b4f6-41d0-95b7-8f4799d77f84</t>
  </si>
  <si>
    <t>uuid:c87f5c77-3b4b-4194-a9ef-42c24843719d</t>
  </si>
  <si>
    <t>uuid:637981ad-f99f-41e2-a54f-179b2cfdc967</t>
  </si>
  <si>
    <t>8/4/2022 10:02:00</t>
  </si>
  <si>
    <t>uuid:94a932b2-d76e-46ae-b532-f3126f785db5</t>
  </si>
  <si>
    <t>uuid:622db382-8433-426a-910f-2da3fbe56042</t>
  </si>
  <si>
    <t>Clearance</t>
  </si>
  <si>
    <t>uuid:3f4233c5-ec1e-4604-a9e9-b4b069c50b33</t>
  </si>
  <si>
    <t>uuid:f7aa0750-ac71-4e9f-a3d8-0c7178f73320</t>
  </si>
  <si>
    <t>8/4/2022 10:03:00</t>
  </si>
  <si>
    <t>uuid:cf86f581-9805-43f1-90fc-dff45f65a36e</t>
  </si>
  <si>
    <t>uuid:94a01d8a-10ca-487b-95fe-fdab31afe766</t>
  </si>
  <si>
    <t>8/4/2022 10:05:00</t>
  </si>
  <si>
    <t>uuid:4c740c5a-0c2f-4980-9fc9-059f8ef69d9c</t>
  </si>
  <si>
    <t>8/5/2022 9:36:00</t>
  </si>
  <si>
    <t>uuid:6e52aa66-48c8-41c0-a6a9-09ce46ca8677</t>
  </si>
  <si>
    <t>8/5/2022 9:56:00</t>
  </si>
  <si>
    <t>uuid:c4148e9c-793b-4a1c-b39b-d1ecfac638be</t>
  </si>
  <si>
    <t>8/5/2022 9:57:00</t>
  </si>
  <si>
    <t>uuid:133747fe-3c84-4c73-8cd2-52875c50cfbf</t>
  </si>
  <si>
    <t>uuid:3eb23a98-c3bc-45d3-af47-8b2538cc5ee6</t>
  </si>
  <si>
    <t>uuid:e93d2c94-30fa-439e-99a4-b465b9cc71dc</t>
  </si>
  <si>
    <t>uuid:d601e969-10c6-4cb2-ad62-443263c0ac78</t>
  </si>
  <si>
    <t>uuid:7642bd80-ae86-4c8c-83f5-a79d6e6cf99f</t>
  </si>
  <si>
    <t>uuid:28bd590f-7c3e-4972-ac5c-666c260db5e4</t>
  </si>
  <si>
    <t>8/5/2022 9:58:00</t>
  </si>
  <si>
    <t>uuid:d37f0dcc-92cf-4521-b8fd-7bfa8c6f7652</t>
  </si>
  <si>
    <t>uuid:e7c5304a-5e2d-484d-9c94-1495919441d8</t>
  </si>
  <si>
    <t>uuid:a63065f3-d373-46b7-a393-2e6ec2cd345e</t>
  </si>
  <si>
    <t>uuid:f9cb9536-0359-4d71-ae30-b5baffc8133e</t>
  </si>
  <si>
    <t>8/5/2022 9:59:00</t>
  </si>
  <si>
    <t>Distance location</t>
  </si>
  <si>
    <t>uuid:425a9efa-f931-4433-b716-b2f7a0b7dbc0</t>
  </si>
  <si>
    <t>uuid:c42cf0fb-2b1b-4cc4-b154-a38209355943</t>
  </si>
  <si>
    <t>8/6/2022 9:39:00</t>
  </si>
  <si>
    <t>uuid:905cf224-f974-4b39-9eb8-8a78685f22bb</t>
  </si>
  <si>
    <t>uuid:45c59bbe-b5fa-46e3-9ebf-beb387df3c3a</t>
  </si>
  <si>
    <t>8/6/2022 10:48:00</t>
  </si>
  <si>
    <t>uuid:5f8eb4b3-bd56-44a9-b4b0-8b5209a0e95c</t>
  </si>
  <si>
    <t>uuid:95eb1304-eebc-4ca1-a058-623facdc3fa7</t>
  </si>
  <si>
    <t>uuid:eff9ff60-2a8d-4d82-b985-76c7a4a783cf</t>
  </si>
  <si>
    <t>uuid:9587b1e6-9bbe-46ab-a16d-ae7f4be3def6</t>
  </si>
  <si>
    <t>8/6/2022 10:49:00</t>
  </si>
  <si>
    <t>uuid:8d40cf92-71ba-4385-8735-33047e074605</t>
  </si>
  <si>
    <t>8/6/2022 10:50:00</t>
  </si>
  <si>
    <t>Wedding</t>
  </si>
  <si>
    <t>uuid:acf493aa-b914-4a4f-9246-fcac9310d26e</t>
  </si>
  <si>
    <t>8/6/2022 10:51:00</t>
  </si>
  <si>
    <t>With family</t>
  </si>
  <si>
    <t>uuid:6323c632-37cd-4eab-a36a-ef08fddabfc6</t>
  </si>
  <si>
    <t>uuid:ef718255-a6b9-4b4d-8a8d-dfddb63f5dee</t>
  </si>
  <si>
    <t>uuid:c648c7c7-b178-4e4a-80e7-6d008dac51f8</t>
  </si>
  <si>
    <t>8/6/2022 10:52:00</t>
  </si>
  <si>
    <t>uuid:12013690-0304-4d2e-b0ab-7f87ffb736c9</t>
  </si>
  <si>
    <t>uuid:3334bc86-322f-4632-bc73-2513486fabbb</t>
  </si>
  <si>
    <t>8/6/2022 10:53:00</t>
  </si>
  <si>
    <t>uuid:95f775b0-6785-46bf-b238-aed644d084b0</t>
  </si>
  <si>
    <t>8/8/2022 9:20:00</t>
  </si>
  <si>
    <t>uuid:efae4ddf-1c12-4a09-ab82-c25a3df6aba2</t>
  </si>
  <si>
    <t>uuid:c7c1800b-9f41-4511-a054-7661b2fe6632</t>
  </si>
  <si>
    <t>uuid:e61b1cc9-c381-472a-9b64-9b3c728e8945</t>
  </si>
  <si>
    <t>uuid:2eec3d67-feef-43d3-9d29-91a68e1b6b9f</t>
  </si>
  <si>
    <t>8/8/2022 9:21:00</t>
  </si>
  <si>
    <t>uuid:cb09fc4c-62e7-4264-b9f8-8342125c7220</t>
  </si>
  <si>
    <t>illness</t>
  </si>
  <si>
    <t>uuid:4a8fea7f-fce3-4dae-9f9d-352395c70e6d</t>
  </si>
  <si>
    <t>uuid:0009bfc8-96eb-4655-8d07-e9667052e31f</t>
  </si>
  <si>
    <t>Travelled to visit Joseph for naming ceremony</t>
  </si>
  <si>
    <t>uuid:82f0468a-eb64-4f90-b4e2-c000f908c8f4</t>
  </si>
  <si>
    <t>uuid:1d330209-dfd4-4657-ba40-25ef9adb2041</t>
  </si>
  <si>
    <t>uuid:ba0e956a-6d25-4edb-91c0-41ceb8d846e8</t>
  </si>
  <si>
    <t>8/8/2022 9:22:00</t>
  </si>
  <si>
    <t>uuid:2223758c-4a43-4745-a501-377ae83350e8</t>
  </si>
  <si>
    <t>uuid:0af0ec06-2742-422a-a192-484affdf8054</t>
  </si>
  <si>
    <t>uuid:9e7d9cb7-2c7f-429b-a5ea-db91b6f3ff07</t>
  </si>
  <si>
    <t>Wife put to bed</t>
  </si>
  <si>
    <t>uuid:b1b429e0-f5d2-4544-b714-ce9bf38da5c2</t>
  </si>
  <si>
    <t>8/9/2022 9:28:00</t>
  </si>
  <si>
    <t>uuid:9f9f2b80-9e76-4b86-9274-dfe1abfd4f2f</t>
  </si>
  <si>
    <t>uuid:5f4eac62-97b0-45d1-b9e2-86f1fcea7fe7</t>
  </si>
  <si>
    <t>8/9/2022 9:29:00</t>
  </si>
  <si>
    <t>uuid:0bb8be4f-df08-472c-9703-f4ba703224fa</t>
  </si>
  <si>
    <t>uuid:5d271371-5f6b-49d0-8ccb-76e19c13715c</t>
  </si>
  <si>
    <t>uuid:a49ba803-0f26-41f8-a370-b2cd1bca1147</t>
  </si>
  <si>
    <t>uuid:ffc5ece2-ee9f-4615-bfd9-6af820db9657</t>
  </si>
  <si>
    <t>8/9/2022 9:30:00</t>
  </si>
  <si>
    <t>uuid:ca6b01e1-ae60-4f39-8532-15487c80c6de</t>
  </si>
  <si>
    <t>uuid:f4630aaf-1658-4b70-97d1-f43b864d530c</t>
  </si>
  <si>
    <t>uuid:03d2c467-3204-43a5-ae6c-bebae3cfa4b7</t>
  </si>
  <si>
    <t>uuid:13c45604-3543-4780-a7f5-0f9cda116713</t>
  </si>
  <si>
    <t>uuid:89c00226-7311-4d00-a390-66812b48b911</t>
  </si>
  <si>
    <t>8/9/2022 9:31:00</t>
  </si>
  <si>
    <t>uuid:16fac808-0105-482f-b8fa-4e9193644f96</t>
  </si>
  <si>
    <t>uuid:7995d7c1-4e44-449e-8726-dc2445aa3769</t>
  </si>
  <si>
    <t>uuid:0f17b6d0-e691-4e1d-84fd-0103a3487d13</t>
  </si>
  <si>
    <t>8/10/2022 9:58:00</t>
  </si>
  <si>
    <t>uuid:42275d2b-dd95-4062-8642-da39c9f67b4d</t>
  </si>
  <si>
    <t>uuid:c9e02550-8a90-4c97-8d9e-1c00c4d0d900</t>
  </si>
  <si>
    <t>Malaria and Catarhh</t>
  </si>
  <si>
    <t>uuid:f2b484c6-ea9d-410e-94b6-aa6bf4922d8f</t>
  </si>
  <si>
    <t>8/10/2022 9:59:00</t>
  </si>
  <si>
    <t>uuid:f586bccd-69be-4228-afc6-6c8396faf699</t>
  </si>
  <si>
    <t>uuid:fc315f2d-d2de-4155-a943-1d625edabc0d</t>
  </si>
  <si>
    <t>uuid:2b5c05b1-5d71-4e86-85a4-78ba337a0255</t>
  </si>
  <si>
    <t>uuid:0969584d-5e69-42ec-a146-8cadfcd28eab</t>
  </si>
  <si>
    <t>uuid:aa972349-a466-419a-866d-4c558b018e65</t>
  </si>
  <si>
    <t>uuid:5ac74fd5-722e-47cf-9856-1d023e3c1ea1</t>
  </si>
  <si>
    <t>8/10/2022 10:00:00</t>
  </si>
  <si>
    <t>uuid:87ea350e-a74b-463a-942d-f25a8de502d8</t>
  </si>
  <si>
    <t>8/10/2022 10:01:00</t>
  </si>
  <si>
    <t>uuid:d2452d8f-9e82-49b8-a616-3707bcde9753</t>
  </si>
  <si>
    <t>8/10/2022 10:02:00</t>
  </si>
  <si>
    <t>Don't have idea</t>
  </si>
  <si>
    <t>uuid:52eec234-33bb-4a68-bae6-6d977a1fddfe</t>
  </si>
  <si>
    <t>8/10/2022 10:05:00</t>
  </si>
  <si>
    <t>uuid:e92298ac-6c2f-4134-8634-171f53fbf71c</t>
  </si>
  <si>
    <t>8/10/2022 10:06:00</t>
  </si>
  <si>
    <t>uuid:ceb15ea6-0d73-4334-b5d2-0ee2e18db9f3</t>
  </si>
  <si>
    <t>8/11/2022 10:28:00</t>
  </si>
  <si>
    <t>uuid:b632aa9f-6b85-4c04-b497-eb1042ddd129</t>
  </si>
  <si>
    <t>uuid:5e5c068c-63b3-4bc8-9306-16965e36a81e</t>
  </si>
  <si>
    <t>uuid:5966210e-207d-48b1-9677-c65f16a48568</t>
  </si>
  <si>
    <t>uuid:98f7a248-b81d-4ca3-8cfb-bd3f4fbfa3f4</t>
  </si>
  <si>
    <t>uuid:63bb5fed-5313-40e3-915b-80187b2e3cd4</t>
  </si>
  <si>
    <t>uuid:dcff3238-dcf9-42bd-a65f-d13570fcdfbd</t>
  </si>
  <si>
    <t>8/11/2022 10:29:00</t>
  </si>
  <si>
    <t>uuid:37fd27e0-3e76-49de-94fb-1d06a7f2e9b4</t>
  </si>
  <si>
    <t>uuid:68c6e422-d79d-4ef2-9e12-c5ef899dfc32</t>
  </si>
  <si>
    <t>uuid:31282ced-3859-4fa5-8ca5-ecbeb8e51d62</t>
  </si>
  <si>
    <t>uuid:437c2dfe-1505-4ad3-9fcd-93571e3339d0</t>
  </si>
  <si>
    <t>uuid:8558eb17-1700-4573-8cfd-1c5cf7c394c8</t>
  </si>
  <si>
    <t>uuid:d8414961-bd30-4876-830e-c98d120faccc</t>
  </si>
  <si>
    <t>uuid:0af61d28-bd44-4f9e-a570-f77027b1a53c</t>
  </si>
  <si>
    <t>8/11/2022 10:30:00</t>
  </si>
  <si>
    <t>uuid:8a44964f-7f11-4b87-8481-111a10b10be6</t>
  </si>
  <si>
    <t>8/12/2022 10:31:00</t>
  </si>
  <si>
    <t>uuid:cb27b133-99e4-498a-bfd6-f4e75b572d78</t>
  </si>
  <si>
    <t>uuid:68cea1cb-54bf-4737-aee7-71d40e0d1511</t>
  </si>
  <si>
    <t>8/12/2022 10:32:00</t>
  </si>
  <si>
    <t>uuid:176d8ba8-c3d8-46d4-ae8f-d6204a27c9d2</t>
  </si>
  <si>
    <t>uuid:761587f5-51f3-47b1-b9c2-27322a8923b1</t>
  </si>
  <si>
    <t>uuid:35678efd-651c-448a-8745-ff121360edd3</t>
  </si>
  <si>
    <t>uuid:56751e80-9aeb-4400-aa70-982b596793b4</t>
  </si>
  <si>
    <t>uuid:85b99aea-c835-4c8e-8f40-3bdcafbb6cba</t>
  </si>
  <si>
    <t>uuid:0536ca5c-5308-4bda-835c-af5c8c511616</t>
  </si>
  <si>
    <t>8/12/2022 10:33:00</t>
  </si>
  <si>
    <t>uuid:951bbcde-47c8-4bab-9705-47b457ae36c6</t>
  </si>
  <si>
    <t>uuid:e509aa92-c45d-4ef3-af1d-cbaa35c2416e</t>
  </si>
  <si>
    <t>uuid:cbfad784-cc0e-4cbe-8d42-18dc2fa0f95f</t>
  </si>
  <si>
    <t>uuid:25738049-f5cf-4e0f-9ee9-08302f60f332</t>
  </si>
  <si>
    <t>8/12/2022 10:34:00</t>
  </si>
  <si>
    <t>Stomach ach</t>
  </si>
  <si>
    <t>uuid:4d96be4e-d9c3-4da8-9e3b-dc76ed83aca5</t>
  </si>
  <si>
    <t>uuid:5f061f86-8a4c-41a6-9804-7f9440cf2d52</t>
  </si>
  <si>
    <t>8/13/2022 16:58:00</t>
  </si>
  <si>
    <t>uuid:d956ddb1-cfb8-4783-b759-09ce3d0c5aaa</t>
  </si>
  <si>
    <t>uuid:23960d04-ef57-4f1d-b27a-ccd19961c9eb</t>
  </si>
  <si>
    <t>8/13/2022 16:59:00</t>
  </si>
  <si>
    <t>uuid:7f40a144-81d1-4ed9-b038-52f070a09aea</t>
  </si>
  <si>
    <t>uuid:bcaf3f62-a164-4cd0-b223-f77251871060</t>
  </si>
  <si>
    <t>uuid:e9fbfe73-5173-45fa-9fb9-e29940db9611</t>
  </si>
  <si>
    <t>uuid:4a2dc023-df00-4aa4-a26b-ee5223d4aa1a</t>
  </si>
  <si>
    <t>uuid:fbf5a058-c82d-4319-a82e-005ed2aab45b</t>
  </si>
  <si>
    <t>8/13/2022 17:00:00</t>
  </si>
  <si>
    <t>uuid:203ea5b8-249c-4a96-a0b8-851626383eb5</t>
  </si>
  <si>
    <t>uuid:b409ab15-b9fa-4aed-9c4f-c4ff44496398</t>
  </si>
  <si>
    <t>Went for church program</t>
  </si>
  <si>
    <t>uuid:c036fa26-19d8-4bb3-86b6-b99d1da0872e</t>
  </si>
  <si>
    <t>8/13/2022 17:01:00</t>
  </si>
  <si>
    <t>uuid:dd0ff912-260c-4d87-87d6-ef2cac10aca7</t>
  </si>
  <si>
    <t>8/13/2022 17:02:00</t>
  </si>
  <si>
    <t>uuid:8c58989a-4c3e-486f-b220-30573a792558</t>
  </si>
  <si>
    <t>uuid:820d23ec-d9a9-4bd3-9980-faa16b5f1a34</t>
  </si>
  <si>
    <t>uuid:ae75afed-587d-4d2a-9464-7fabc634e128</t>
  </si>
  <si>
    <t>8/15/2022 10:08:00</t>
  </si>
  <si>
    <t>uuid:69ec277d-b3d3-4579-a33e-d145f7089df5</t>
  </si>
  <si>
    <t>uuid:bbb880e7-1730-429f-9829-9d3c8d3aa787</t>
  </si>
  <si>
    <t>uuid:bd579d0f-155f-4cbd-b952-89ab4708db7f</t>
  </si>
  <si>
    <t>uuid:e8b53926-db3b-4f89-b67b-233dbd88b500</t>
  </si>
  <si>
    <t>8/15/2022 10:09:00</t>
  </si>
  <si>
    <t>uuid:80821467-3a4b-4885-9a6c-be66a675eb51</t>
  </si>
  <si>
    <t>uuid:b7b59fd4-8ab5-4e69-9872-0a5de08b9ac1</t>
  </si>
  <si>
    <t>uuid:9ade7f69-68b1-43f9-8dd9-0662a95a6d33</t>
  </si>
  <si>
    <t>uuid:77b1ceaf-0902-4a5e-8ef8-02ed1995425d</t>
  </si>
  <si>
    <t>uuid:15a35867-0d4b-4fd3-bdbe-46db49e93078</t>
  </si>
  <si>
    <t>8/15/2022 10:10:00</t>
  </si>
  <si>
    <t>uuid:42c3f215-a1d9-465e-ac3a-5aba0ab9f9b2</t>
  </si>
  <si>
    <t>uuid:06b84e3b-f947-4f3a-86d9-db0fb01a4bd3</t>
  </si>
  <si>
    <t>uuid:76fc065a-85e4-4c60-b07e-d3754b266a38</t>
  </si>
  <si>
    <t>uuid:a66d1495-3f0b-410c-9f82-6da732f503f3</t>
  </si>
  <si>
    <t>uuid:72c0b569-d92c-4881-9ccd-1f54ca0e814b</t>
  </si>
  <si>
    <t>8/16/2022 9:54:00</t>
  </si>
  <si>
    <t>uuid:0c7196b5-6f9b-445e-8c59-f688397ca31b</t>
  </si>
  <si>
    <t>uuid:d80017fd-1bd4-41c1-9550-401026d2bf5a</t>
  </si>
  <si>
    <t>uuid:2876aa5c-33e1-4e42-b2f3-b41ea8d35c89</t>
  </si>
  <si>
    <t>uuid:f868bfda-cdcc-480b-8aa8-3510884d1327</t>
  </si>
  <si>
    <t>uuid:bc0e7563-6e62-4f82-9ece-4497e74bf970</t>
  </si>
  <si>
    <t>uuid:98f89523-03e1-451e-b6e7-282710aaa0e8</t>
  </si>
  <si>
    <t>8/16/2022 9:55:00</t>
  </si>
  <si>
    <t>uuid:da6bbfc4-7fbe-480d-89ea-be1955183cfc</t>
  </si>
  <si>
    <t>uuid:4e904d1f-9a33-48f9-ab23-65670988988a</t>
  </si>
  <si>
    <t>uuid:94743444-9d7e-454b-8c3e-97e3cc42f096</t>
  </si>
  <si>
    <t>uuid:002c3d78-6df9-412e-ae5f-dd5ae2b9118b</t>
  </si>
  <si>
    <t>8/16/2022 9:56:00</t>
  </si>
  <si>
    <t>uuid:61dd0e6a-b7a1-469c-b710-2de4c327b868</t>
  </si>
  <si>
    <t>uuid:5d256337-b4b5-43cc-a31f-37654b8736c8</t>
  </si>
  <si>
    <t>uuid:d4c0367c-2152-4b41-a0c5-1a15e7901cfd</t>
  </si>
  <si>
    <t>uuid:c5a1ad84-96f0-40b5-8e82-0e7fb9310dbe</t>
  </si>
  <si>
    <t>8/17/2022 9:06:00</t>
  </si>
  <si>
    <t>uuid:80bb6a19-97f1-46a3-b92c-80e303d5a017</t>
  </si>
  <si>
    <t>8/17/2022 9:07:00</t>
  </si>
  <si>
    <t>uuid:6eeaa1c9-c239-44d6-801a-adeb16309b6e</t>
  </si>
  <si>
    <t>uuid:5a12064b-f156-4878-a4d4-357592aaae77</t>
  </si>
  <si>
    <t>uuid:6be24962-e092-4d5d-90ee-a68091b15f01</t>
  </si>
  <si>
    <t>uuid:c5a61061-c7f1-42c9-80bb-b59e109f7f40</t>
  </si>
  <si>
    <t>uuid:271ab3e6-a3d5-4b8f-856d-7127244ad18c</t>
  </si>
  <si>
    <t>uuid:0181829f-0040-4bf9-b740-585981f26f46</t>
  </si>
  <si>
    <t>uuid:aaf450b8-fa93-46dd-a23e-cf5aa15e1dfa</t>
  </si>
  <si>
    <t>8/17/2022 9:08:00</t>
  </si>
  <si>
    <t>uuid:95142ec3-0d8c-434a-b5de-68fd3763ecc6</t>
  </si>
  <si>
    <t>uuid:87ec0348-c5f3-440d-8cb5-d25770c7379f</t>
  </si>
  <si>
    <t>uuid:71e25ac3-fc1a-4359-ab19-28625fd9498c</t>
  </si>
  <si>
    <t>uuid:39b47052-3b17-4823-99c2-3d18b7524547</t>
  </si>
  <si>
    <t>8/17/2022 9:09:00</t>
  </si>
  <si>
    <t>uuid:c0609fb9-01ed-4c6f-ba14-4a58de3c5621</t>
  </si>
  <si>
    <t>8/17/2022 9:12:00</t>
  </si>
  <si>
    <t>uuid:276a0936-c637-4f76-9912-9289dd925e32</t>
  </si>
  <si>
    <t>8/18/2022 8:27:00</t>
  </si>
  <si>
    <t>uuid:98dc9f7e-f3dd-46b5-9667-ddd9f5d99bd3</t>
  </si>
  <si>
    <t>uuid:c2947bf5-2f2c-4f6f-ac3b-41a01758e418</t>
  </si>
  <si>
    <t>uuid:bdab5e64-acef-4bfa-843e-c71bfb52b3e4</t>
  </si>
  <si>
    <t>uuid:b9ef1694-5f8d-4084-918a-fb64e25a8bd4</t>
  </si>
  <si>
    <t>uuid:9197de30-68f4-40a7-8c7a-97f702a9e4fd</t>
  </si>
  <si>
    <t>8/18/2022 8:28:00</t>
  </si>
  <si>
    <t>uuid:e43d22e8-0df4-414f-bda9-98e2d88f8015</t>
  </si>
  <si>
    <t>uuid:88d682df-2663-43d7-bf65-b32b74269234</t>
  </si>
  <si>
    <t>uuid:429cb17b-8787-43e3-a8fb-7ebe305a8702</t>
  </si>
  <si>
    <t>uuid:a7bdf837-3f52-48df-894c-a195f1d7f3cd</t>
  </si>
  <si>
    <t>uuid:c881d5d9-945d-49a1-aed1-056d3f48cf37</t>
  </si>
  <si>
    <t>uuid:63e91ae2-2781-438a-a771-0b7141c5c05a</t>
  </si>
  <si>
    <t>uuid:446dbb44-b320-4283-aa07-ad43795288b1</t>
  </si>
  <si>
    <t>8/18/2022 8:29:00</t>
  </si>
  <si>
    <t>uuid:6e0e7004-c736-4bdc-8a76-9d2e9104c1a8</t>
  </si>
  <si>
    <t>uuid:1acecccb-4ad7-4c83-9e0d-3ff0d34d3b0c</t>
  </si>
  <si>
    <t>8/19/2022 10:00:00</t>
  </si>
  <si>
    <t>uuid:29f62284-40c5-46f2-a1ff-9bec1976fcc0</t>
  </si>
  <si>
    <t>uuid:769c1fca-b908-45be-bb07-96ccc801e0ee</t>
  </si>
  <si>
    <t>uuid:b4a089d3-1b67-40ac-903c-06004fb0a35d</t>
  </si>
  <si>
    <t>uuid:7ed8ce87-7a28-4b0c-b099-bff8eb344669</t>
  </si>
  <si>
    <t>8/19/2022 10:01:00</t>
  </si>
  <si>
    <t>uuid:4d321568-94e8-4d67-b6a9-ce66c2e998e3</t>
  </si>
  <si>
    <t>uuid:c6a43799-ab2d-43aa-989f-37175e4e608e</t>
  </si>
  <si>
    <t>uuid:ee052344-75f0-456f-9786-b5116d0e5797</t>
  </si>
  <si>
    <t>uuid:aa06f16f-00b9-497d-b990-020228b17066</t>
  </si>
  <si>
    <t>No vehicle to convey commuters</t>
  </si>
  <si>
    <t>uuid:5713d684-a698-4487-a10f-4a8a0a0d33ed</t>
  </si>
  <si>
    <t>8/19/2022 10:02:00</t>
  </si>
  <si>
    <t>working from warehouse</t>
  </si>
  <si>
    <t>uuid:3db3f4c5-8493-44a4-895c-3085a2fb2cc3</t>
  </si>
  <si>
    <t>uuid:62f00055-2204-4d56-8b66-7da9bb919046</t>
  </si>
  <si>
    <t>uuid:9078ff92-4575-443e-986c-df4df5545604</t>
  </si>
  <si>
    <t>Medical leave</t>
  </si>
  <si>
    <t>uuid:38000cea-85b5-4868-9ae3-2a3989b43ced</t>
  </si>
  <si>
    <t>8/19/2022 10:03:00</t>
  </si>
  <si>
    <t>uuid:481e56ef-1d96-41f0-8f87-0426e30ffabd</t>
  </si>
  <si>
    <t>8/20/2022 10:40:00</t>
  </si>
  <si>
    <t>uuid:a69a9d4a-fe53-4358-8e1b-9a09f94b06cc</t>
  </si>
  <si>
    <t>uuid:196d37e5-8e16-4ee8-99ad-3ea1bb4ecc9b</t>
  </si>
  <si>
    <t>uuid:13822913-1a10-4d55-b98a-8d2d3f7a529b</t>
  </si>
  <si>
    <t>uuid:0f5166f6-80b1-4f79-aa63-2a737106e94a</t>
  </si>
  <si>
    <t>8/20/2022 10:41:00</t>
  </si>
  <si>
    <t>uuid:391a83a0-0a8c-49bc-bb5a-3a1cfe92e3fc</t>
  </si>
  <si>
    <t>uuid:32943de8-b27d-4ac9-b725-12bfd923118f</t>
  </si>
  <si>
    <t>uuid:c8d39433-3712-44c7-92ad-96c391f51a01</t>
  </si>
  <si>
    <t>uuid:5a54be0a-bcea-4d82-abba-8aad8f988bdc</t>
  </si>
  <si>
    <t>8/20/2022 10:42:00</t>
  </si>
  <si>
    <t>uuid:cfc82dcd-21dd-40a2-bca1-333cdb81dc23</t>
  </si>
  <si>
    <t>8/20/2022 10:43:00</t>
  </si>
  <si>
    <t>uuid:67335424-49c8-43fd-9f50-ea75899efc74</t>
  </si>
  <si>
    <t>uuid:e1f59f06-15fd-4bde-90a7-74b06333e8dc</t>
  </si>
  <si>
    <t>Travelled home</t>
  </si>
  <si>
    <t>uuid:6670ea15-e57f-41f7-a148-451e867254f3</t>
  </si>
  <si>
    <t>uuid:ffb997f6-d2fd-4c6e-ab0d-d9dc949237f5</t>
  </si>
  <si>
    <t>8/20/2022 10:44:00</t>
  </si>
  <si>
    <t>uuid:9aef8234-44cc-4a76-a6c9-f0c8f9bfde59</t>
  </si>
  <si>
    <t>8/22/2022 8:03:00</t>
  </si>
  <si>
    <t>uuid:165a4c6a-a34a-4987-843b-05f5588b46b5</t>
  </si>
  <si>
    <t>uuid:cf9c33a1-cb2c-41e1-8858-3ca70d817223</t>
  </si>
  <si>
    <t>uuid:b6a09f22-5f85-4e14-acbe-489eb25b8cbf</t>
  </si>
  <si>
    <t>8/22/2022 8:04:00</t>
  </si>
  <si>
    <t>uuid:cd103523-4172-4bd8-9f1f-436cd25447c7</t>
  </si>
  <si>
    <t>uuid:c931035d-c8fd-425b-85a0-b49b08d670ad</t>
  </si>
  <si>
    <t>uuid:afbd133a-004f-4114-a6bd-fafa89f9d349</t>
  </si>
  <si>
    <t>uuid:7acfd3e6-b9c3-40e5-8231-9eda905fab84</t>
  </si>
  <si>
    <t>uuid:56a91fde-937b-49f8-8203-41637c6021ff</t>
  </si>
  <si>
    <t>uuid:cf095905-380b-4e0a-9b90-634b64533e54</t>
  </si>
  <si>
    <t>uuid:ea655b6e-2a0d-4288-aa58-a637c686a14d</t>
  </si>
  <si>
    <t>8/22/2022 8:05:00</t>
  </si>
  <si>
    <t>uuid:5a456879-0c74-41c3-8d56-a21065d3b315</t>
  </si>
  <si>
    <t>8/22/2022 8:06:00</t>
  </si>
  <si>
    <t>uuid:26d7f9eb-502b-4ce5-9a13-395ac9c91fd6</t>
  </si>
  <si>
    <t>8/22/2022 8:07:00</t>
  </si>
  <si>
    <t>uuid:93b25eea-7927-4774-b402-b8508344ee5d</t>
  </si>
  <si>
    <t>uuid:e27ed2cd-8a06-4c09-9b8c-b950937f20a3</t>
  </si>
  <si>
    <t>8/23/2022 7:48:00</t>
  </si>
  <si>
    <t>uuid:e1fa03c6-77f7-4dc8-a084-2af2f191bf5c</t>
  </si>
  <si>
    <t>8/23/2022 7:49:00</t>
  </si>
  <si>
    <t>uuid:d3553b0a-b71a-4518-945f-8c37da4e8b9d</t>
  </si>
  <si>
    <t>uuid:6c5c771e-248e-410c-8528-698eabcf163f</t>
  </si>
  <si>
    <t>uuid:db9e5877-063f-45d5-9e60-2a3cef12b225</t>
  </si>
  <si>
    <t>uuid:19f68914-bdb7-4b3a-b92d-d1c0dc54ecc7</t>
  </si>
  <si>
    <t>uuid:5ad20243-de24-46e1-b004-5a5854470055</t>
  </si>
  <si>
    <t>uuid:6aa42cb8-7693-4e21-b5c9-085efbc780f9</t>
  </si>
  <si>
    <t>8/23/2022 7:50:00</t>
  </si>
  <si>
    <t>uuid:757bcffd-13cb-4ce7-b4bc-386820a2ea0f</t>
  </si>
  <si>
    <t>uuid:04184cd3-12df-4760-aa36-a2bca0498f1d</t>
  </si>
  <si>
    <t>uuid:6647d3c7-1ab9-45ca-acea-9ce6fe02f551</t>
  </si>
  <si>
    <t>uuid:58450201-093d-4ee9-8f6a-06b83601806d</t>
  </si>
  <si>
    <t>uuid:bd812acf-43d3-4eb4-a6b0-ee79c60ac80f</t>
  </si>
  <si>
    <t>Medical survey</t>
  </si>
  <si>
    <t>uuid:39d0fbf1-51f2-48d4-88ab-11d90782127b</t>
  </si>
  <si>
    <t>8/23/2022 7:51:00</t>
  </si>
  <si>
    <t>uuid:079be6bd-30c1-4c7c-8701-7713551f4308</t>
  </si>
  <si>
    <t>8/24/2022 8:18:00</t>
  </si>
  <si>
    <t>uuid:9c4706ae-1574-47eb-8f49-44dbc2645427</t>
  </si>
  <si>
    <t>uuid:1e2d5994-9421-4cac-ac23-285d21805d8e</t>
  </si>
  <si>
    <t>uuid:1dadefe0-5bb2-4960-94fe-46947ee6b530</t>
  </si>
  <si>
    <t>8/24/2022 8:19:00</t>
  </si>
  <si>
    <t>uuid:1812af5d-1097-43ef-9394-b5cfd052b4fd</t>
  </si>
  <si>
    <t>uuid:d9ebbad8-88f4-4727-808d-947685bdf010</t>
  </si>
  <si>
    <t>uuid:3f97934b-03bf-42a5-906c-7ddf3ac2f9a0</t>
  </si>
  <si>
    <t>uuid:1b66a0db-2954-4ab1-b687-5cae8a165dd1</t>
  </si>
  <si>
    <t>uuid:32a8245f-ed16-493e-bc1b-14d5929d056f</t>
  </si>
  <si>
    <t>uuid:1b169eea-cfdf-4ac9-bf99-24f58fa42e97</t>
  </si>
  <si>
    <t>8/24/2022 8:20:00</t>
  </si>
  <si>
    <t>uuid:ebe57929-06c5-49c6-8db8-5de9ee0f6ecf</t>
  </si>
  <si>
    <t>uuid:819a8186-4a30-427c-8d8b-818cfbda04d7</t>
  </si>
  <si>
    <t>uuid:83afd016-0691-49f9-8a3e-5c95e4fd618c</t>
  </si>
  <si>
    <t>uuid:b85c46fe-10f1-4633-8f45-5df5dc8bd404</t>
  </si>
  <si>
    <t>uuid:7b61b306-981f-4f2d-b0ee-ac31e649026d</t>
  </si>
  <si>
    <t>8/25/2022 8:47:00</t>
  </si>
  <si>
    <t>uuid:fa089dc2-8cdb-4856-a93a-e31ed117a069</t>
  </si>
  <si>
    <t>uuid:7f72637c-5fd5-44a6-bb68-14ca91640459</t>
  </si>
  <si>
    <t>uuid:2dc5204c-a85b-4956-8340-611773bff5f4</t>
  </si>
  <si>
    <t>uuid:23cac494-f522-4b83-9d88-b0a89a92864d</t>
  </si>
  <si>
    <t>8/25/2022 8:48:00</t>
  </si>
  <si>
    <t>uuid:e86ee9b1-dbbc-45f0-9361-21daefb887ad</t>
  </si>
  <si>
    <t>uuid:4c526866-9dfc-4429-819e-93d754b08fa9</t>
  </si>
  <si>
    <t>uuid:e976b218-6c89-4b45-8ef5-ef4555f60291</t>
  </si>
  <si>
    <t>uuid:4bf68051-5617-4397-86dd-c2bce6346a21</t>
  </si>
  <si>
    <t>8/25/2022 8:49:00</t>
  </si>
  <si>
    <t>uuid:62de21fd-e626-4913-93f7-86f32a62bd72</t>
  </si>
  <si>
    <t>8/25/2022 8:50:00</t>
  </si>
  <si>
    <t>uuid:650f63a8-253d-444f-8556-38e8fb1899ac</t>
  </si>
  <si>
    <t>uuid:4f7ec9fc-7186-4df3-8127-8a6269c0c324</t>
  </si>
  <si>
    <t>uuid:a0c5edd6-3c86-43d0-a95b-3291c7dd6ad3</t>
  </si>
  <si>
    <t>uuid:a6131fd3-eb70-484a-9760-53cd392189d4</t>
  </si>
  <si>
    <t>8/25/2022 8:51:00</t>
  </si>
  <si>
    <t>uuid:b164c62b-a321-48e0-842c-93bbc76f8d5d</t>
  </si>
  <si>
    <t>8/25/2022 9:56:00</t>
  </si>
  <si>
    <t>uuid:08d66935-40da-4830-a038-ae65fa9ebb4a</t>
  </si>
  <si>
    <t>8/26/2022 11:04:00</t>
  </si>
  <si>
    <t>uuid:45dd7826-f997-47d5-ad4a-234bb2366d70</t>
  </si>
  <si>
    <t>uuid:dc2013e9-2082-472f-8af2-ac39dd793639</t>
  </si>
  <si>
    <t>uuid:035b7ed1-63f8-444b-9991-57bdb9881868</t>
  </si>
  <si>
    <t>uuid:49db882e-d243-485b-a1ad-cb41eeb0763e</t>
  </si>
  <si>
    <t>8/26/2022 11:05:00</t>
  </si>
  <si>
    <t>uuid:f958a958-6072-49d1-9a59-d19d71ed411c</t>
  </si>
  <si>
    <t>uuid:62665270-0c25-4d15-9a12-c9709c83283d</t>
  </si>
  <si>
    <t>uuid:83679aba-f13c-4039-a8d2-57a31ee33308</t>
  </si>
  <si>
    <t>uuid:01310317-fdc4-4bc1-94db-3a0fb0f6afce</t>
  </si>
  <si>
    <t>uuid:50ec6156-593a-4f4d-a232-97a90785396d</t>
  </si>
  <si>
    <t>uuid:e8f58456-f283-4ec6-88ca-b3335cadd6ac</t>
  </si>
  <si>
    <t>uuid:e3112b7e-46d8-4bd5-8c15-a956650ca28f</t>
  </si>
  <si>
    <t>8/26/2022 11:06:00</t>
  </si>
  <si>
    <t>uuid:5a59bf09-8e9b-4c6a-99c9-44d71426cd93</t>
  </si>
  <si>
    <t>uuid:4a005131-b74e-432b-b3c8-ec2cd7b2cc9c</t>
  </si>
  <si>
    <t>8/26/2022 11:08:00</t>
  </si>
  <si>
    <t>uuid:05440f4a-8a3f-4069-8082-ec528b778926</t>
  </si>
  <si>
    <t>8/27/2022 9:33:00</t>
  </si>
  <si>
    <t>uuid:8395d58e-dbc5-4800-b884-415d12f657fd</t>
  </si>
  <si>
    <t>8/27/2022 9:34:00</t>
  </si>
  <si>
    <t>uuid:5f659f10-b218-432f-beb1-b856dfcd79ff</t>
  </si>
  <si>
    <t>uuid:0eb470a8-b4bb-40ee-a23b-3ab24b9440a8</t>
  </si>
  <si>
    <t>uuid:06df2468-86d5-4b09-a1e6-97559620dcbd</t>
  </si>
  <si>
    <t>uuid:f509b0e4-a37a-4dee-84e1-69c6ce656bbe</t>
  </si>
  <si>
    <t>uuid:a58b3449-31c8-4868-a567-319670df9ba7</t>
  </si>
  <si>
    <t>uuid:98567e15-1e92-4018-8c3a-ed8fd3b7d639</t>
  </si>
  <si>
    <t>uuid:7be89923-2832-478e-96f4-fb5ea58a044f</t>
  </si>
  <si>
    <t>8/27/2022 9:35:00</t>
  </si>
  <si>
    <t>uuid:449f32ca-986f-4bd8-bfdf-8a82e08c530b</t>
  </si>
  <si>
    <t>uuid:1f9d2b9a-c411-4785-9053-0e16b8d2997a</t>
  </si>
  <si>
    <t>uuid:25356acb-a277-44e1-9728-a77d614b27c8</t>
  </si>
  <si>
    <t>uuid:919e0908-95c7-4e49-a34e-ceede5c233b3</t>
  </si>
  <si>
    <t>Corper don't work on Saturdays</t>
  </si>
  <si>
    <t>uuid:a9bcad3e-f15e-41dc-822b-6aa4be4520fe</t>
  </si>
  <si>
    <t>8/27/2022 9:36:00</t>
  </si>
  <si>
    <t>uuid:476963c7-408c-4bb5-b011-459b167fdbf1</t>
  </si>
  <si>
    <t>8/29/2022 8:35:00</t>
  </si>
  <si>
    <t>uuid:98a8259e-7b2c-4872-ab07-4e1accacd85c</t>
  </si>
  <si>
    <t>uuid:b274ffd2-f403-48e5-ba59-23defcf6c2fb</t>
  </si>
  <si>
    <t>8/29/2022 8:36:00</t>
  </si>
  <si>
    <t>uuid:1b9ede69-33e9-44ef-ba05-a9691232e9ec</t>
  </si>
  <si>
    <t>uuid:743f1e9a-aa15-4615-a56e-b905bd9d1672</t>
  </si>
  <si>
    <t>uuid:dbdbd3d3-f5cd-410d-8295-c27198dfbd8d</t>
  </si>
  <si>
    <t>Annual Leave</t>
  </si>
  <si>
    <t>uuid:467a3ba4-ed76-4b74-9ebf-13c94fc4f3ad</t>
  </si>
  <si>
    <t>8/29/2022 8:37:00</t>
  </si>
  <si>
    <t>uuid:af0b15ce-1a5d-48ca-905c-a704144c27de</t>
  </si>
  <si>
    <t>8/29/2022 8:38:00</t>
  </si>
  <si>
    <t>uuid:12454f5b-35aa-4b36-8235-4f17ec15cf89</t>
  </si>
  <si>
    <t>uuid:272f5c57-5485-4e9c-9adf-4579f9d99a66</t>
  </si>
  <si>
    <t>uuid:c62d417e-5214-4db7-9004-7a8d60a0bfad</t>
  </si>
  <si>
    <t>uuid:0a59bccb-ffec-44af-831a-666eceac47e1</t>
  </si>
  <si>
    <t>uuid:b85b5dec-2fa0-42ac-b51e-76d20b3f5cf8</t>
  </si>
  <si>
    <t>uuid:aa976d24-c328-4558-9ddb-80b64addc0ab</t>
  </si>
  <si>
    <t>8/29/2022 8:39:00</t>
  </si>
  <si>
    <t>uuid:f6043c0e-5190-4038-aa70-5c275d946d8c</t>
  </si>
  <si>
    <t>8/30/2022 8:03:00</t>
  </si>
  <si>
    <t>uuid:54ad6224-0d0c-4a69-83da-0c09a46ef1b6</t>
  </si>
  <si>
    <t>uuid:44291bb4-b592-46d9-bd67-9a8721a42953</t>
  </si>
  <si>
    <t>uuid:715e2a66-cbd2-48e6-8572-f656d3a96487</t>
  </si>
  <si>
    <t>uuid:2f9af291-e2b9-4ba4-bbec-94ad3d2afefe</t>
  </si>
  <si>
    <t>uuid:b7f93e21-40e0-4424-b145-07c11cb799f1</t>
  </si>
  <si>
    <t>8/30/2022 8:04:00</t>
  </si>
  <si>
    <t>uuid:88e5a653-2779-4a71-a492-bdeba9080e65</t>
  </si>
  <si>
    <t>uuid:0d868037-0c7e-4aae-acbd-905a197086ba</t>
  </si>
  <si>
    <t>uuid:6b6d8ef2-58e1-43c1-9497-6069219a5bcd</t>
  </si>
  <si>
    <t>uuid:a9763c12-7683-4ad4-9965-bca36762068d</t>
  </si>
  <si>
    <t>uuid:6229df52-d0fd-4532-9368-931bf0f0b40e</t>
  </si>
  <si>
    <t>uuid:df87217e-a0b6-4b06-b80d-661f5c6e67f2</t>
  </si>
  <si>
    <t>uuid:4108b7ba-78b8-40cb-8a13-065242c19b64</t>
  </si>
  <si>
    <t>8/30/2022 8:05:00</t>
  </si>
  <si>
    <t>uuid:6ce5ce4e-24a1-4e8f-8616-7a9b2fb46c76</t>
  </si>
  <si>
    <t>uuid:32eb6a25-2e7c-44f6-863f-f6a74de7a748</t>
  </si>
  <si>
    <t>8/31/2022 9:02:00</t>
  </si>
  <si>
    <t>uuid:dee8a102-64c0-42fc-9d99-0d515f270559</t>
  </si>
  <si>
    <t>8/31/2022 9:04:00</t>
  </si>
  <si>
    <t>uuid:adf98a96-acb0-4986-aaf8-c994138021bd</t>
  </si>
  <si>
    <t>uuid:ebb455f3-0a10-4b22-bd3f-9c4f60b13b1f</t>
  </si>
  <si>
    <t>8/31/2022 9:05:00</t>
  </si>
  <si>
    <t>uuid:5aeba849-6c3a-48c5-9ca2-1db48a7e44dc</t>
  </si>
  <si>
    <t>uuid:31376bf6-d386-4d12-a9c5-54cf75d5f020</t>
  </si>
  <si>
    <t>uuid:149afa19-b2ec-46f2-9a49-6d4f7af33423</t>
  </si>
  <si>
    <t>8/31/2022 9:06:00</t>
  </si>
  <si>
    <t>uuid:3be196a4-ea7d-43aa-8808-a82302a40ae7</t>
  </si>
  <si>
    <t>uuid:ff109341-8694-4ff5-9031-a52e8af33af1</t>
  </si>
  <si>
    <t>uuid:9ebd5a10-2963-432e-9f3c-af6a6346e05e</t>
  </si>
  <si>
    <t>uuid:e9c71c2b-b30c-448a-9f94-e3d150b32b70</t>
  </si>
  <si>
    <t>uuid:da86b241-4f78-49f5-a330-e1d376ada62d</t>
  </si>
  <si>
    <t>8/31/2022 9:09:00</t>
  </si>
  <si>
    <t>uuid:0587f407-2d41-42e2-8ab1-28a6cd00b885</t>
  </si>
  <si>
    <t>uuid:2b4a0dd4-c4c8-4ecb-a716-ab73fdea7172</t>
  </si>
  <si>
    <t>uuid:d5ef8550-6794-4c25-a2ca-59350d436a84</t>
  </si>
  <si>
    <t>9/1/2022 8:55:00</t>
  </si>
  <si>
    <t>uuid:cf454a76-a11a-4988-886b-b653c5ec329d</t>
  </si>
  <si>
    <t>uuid:212f028c-0162-49c4-9729-98ce67206216</t>
  </si>
  <si>
    <t>9/1/2022 8:56:00</t>
  </si>
  <si>
    <t>uuid:f737ca83-951f-49a1-9868-c71b552a5c70</t>
  </si>
  <si>
    <t>uuid:e165dfa1-5539-4809-a79b-4cf9ea4efa3c</t>
  </si>
  <si>
    <t>uuid:4c1edbca-f3aa-45c2-b34f-4fde2b97973e</t>
  </si>
  <si>
    <t>9/1/2022 8:57:00</t>
  </si>
  <si>
    <t>uuid:767caedc-4468-480c-b295-baab6437797d</t>
  </si>
  <si>
    <t>uuid:326a0e98-5585-4884-9be5-93e047ada1cd</t>
  </si>
  <si>
    <t>uuid:1cf8f1ef-f979-4c90-90e9-fba2d717654b</t>
  </si>
  <si>
    <t>uuid:449ee256-521f-4c54-9001-76130514fd9d</t>
  </si>
  <si>
    <t>uuid:160d2974-c64d-41f1-a2e6-9ce813aa8afd</t>
  </si>
  <si>
    <t>uuid:a4439c9a-18d4-45b1-843b-b9a93ba5c712</t>
  </si>
  <si>
    <t>9/1/2022 8:58:00</t>
  </si>
  <si>
    <t>uuid:ee316343-75f3-4821-b4dd-a7d928de5573</t>
  </si>
  <si>
    <t>uuid:80c3a5e3-db5e-4ec6-90c8-b217c440df4a</t>
  </si>
  <si>
    <t>uuid:46c17952-0644-4333-b6f5-6ccfed35518b</t>
  </si>
  <si>
    <t>9/2/2022 9:17:00</t>
  </si>
  <si>
    <t>uuid:ab1ae35b-cd72-49fe-8727-83839790f7ac</t>
  </si>
  <si>
    <t>uuid:8fa2991d-30d3-483b-8869-638fb7ef126b</t>
  </si>
  <si>
    <t>uuid:d10a2937-fc51-4fc9-af56-6f001f02c61a</t>
  </si>
  <si>
    <t>uuid:701598ae-d14a-49e1-92b2-f7f90a0483b2</t>
  </si>
  <si>
    <t>9/2/2022 9:18:00</t>
  </si>
  <si>
    <t>uuid:43380f95-a93c-4691-9365-4df50b2c53b0</t>
  </si>
  <si>
    <t>uuid:427b63c0-b342-458f-8fb3-7898093637a8</t>
  </si>
  <si>
    <t>uuid:31207ac5-938b-4d07-999a-bb83bf66b9e6</t>
  </si>
  <si>
    <t>uuid:b765aad1-8deb-4bdf-9df3-7819c32e577f</t>
  </si>
  <si>
    <t>uuid:c1c654e3-300f-4a76-bb66-e4797496b78f</t>
  </si>
  <si>
    <t>uuid:9040cb08-4924-4088-827e-b48bca7f38b0</t>
  </si>
  <si>
    <t>uuid:a76027f1-46ca-40e7-a9aa-67c6b77ae7dc</t>
  </si>
  <si>
    <t>9/2/2022 9:19:00</t>
  </si>
  <si>
    <t>uuid:909c99b3-29a7-4f45-beb1-02637f8ccc1e</t>
  </si>
  <si>
    <t>uuid:aaf4d146-26d4-4497-989e-7f5fe79355b5</t>
  </si>
  <si>
    <t>uuid:1cadc666-0566-4e3e-8b13-e0c14bb6be55</t>
  </si>
  <si>
    <t>9/3/2022 12:56:00</t>
  </si>
  <si>
    <t>uuid:d3cb556c-3a23-4169-8175-a8ba89f58e82</t>
  </si>
  <si>
    <t>uuid:c156c352-0c6f-4e11-8903-7583d169d309</t>
  </si>
  <si>
    <t>uuid:5ad911ec-60ab-496a-b5df-862cfb41b15a</t>
  </si>
  <si>
    <t>uuid:ea136222-9137-4671-a603-953a226a8a6a</t>
  </si>
  <si>
    <t>uuid:bf8e541f-3f06-4240-98e8-0f14170bbe22</t>
  </si>
  <si>
    <t>9/3/2022 12:57:00</t>
  </si>
  <si>
    <t>uuid:d4b11b90-6489-4058-8c6e-5ebac13740d7</t>
  </si>
  <si>
    <t>uuid:f039a1b6-3635-4574-885c-65a9b828a236</t>
  </si>
  <si>
    <t>uuid:e809cc03-9808-4ec3-bdc7-60180f0c1a63</t>
  </si>
  <si>
    <t>Went for wedding</t>
  </si>
  <si>
    <t>uuid:da9e8040-af4e-4032-abfb-7a7a1fc91921</t>
  </si>
  <si>
    <t>9/3/2022 12:58:00</t>
  </si>
  <si>
    <t>uuid:db7a0a95-73fe-4945-adf4-8066162a7285</t>
  </si>
  <si>
    <t>uuid:c7d6d687-d8d8-4f0c-a2d0-44f5b40d6f29</t>
  </si>
  <si>
    <t>uuid:64ba36d0-3586-4d0c-834e-db16da183478</t>
  </si>
  <si>
    <t>uuid:2dd01b94-7db1-4862-b2d2-79154261cb1d</t>
  </si>
  <si>
    <t>uuid:c5dd0de7-366f-4a50-94c3-c78908a46bb8</t>
  </si>
  <si>
    <t>9/5/2022 8:02:00</t>
  </si>
  <si>
    <t>uuid:29c19edb-8671-46f3-854f-0539d437abc6</t>
  </si>
  <si>
    <t>uuid:0ac6580a-ae4b-44f2-b5e9-935b6cb2e8de</t>
  </si>
  <si>
    <t>uuid:37ec5b00-3b02-4770-a187-a4401354214f</t>
  </si>
  <si>
    <t>uuid:13d0e508-775b-400a-a43c-791a62dfc9db</t>
  </si>
  <si>
    <t>9/5/2022 8:03:00</t>
  </si>
  <si>
    <t>uuid:638a9e9a-de3c-4f1a-967a-de6481328f88</t>
  </si>
  <si>
    <t>uuid:306f79d6-343b-4936-be45-2b8e9fe563d6</t>
  </si>
  <si>
    <t>uuid:d640d7d0-31f4-42e8-b29f-5edc506c2323</t>
  </si>
  <si>
    <t>uuid:c34bb2e0-cc82-43c4-8692-2717eb321f44</t>
  </si>
  <si>
    <t>uuid:220ba404-e7f3-4b55-ab86-e928233b19f0</t>
  </si>
  <si>
    <t>uuid:3ba85eb6-2129-465f-b854-0257102f38e6</t>
  </si>
  <si>
    <t>9/5/2022 8:04:00</t>
  </si>
  <si>
    <t>uuid:f33454c7-5da9-4683-b4cc-22490bebdbea</t>
  </si>
  <si>
    <t>uuid:d86e6451-7ffa-4409-8101-ae4b9f80e124</t>
  </si>
  <si>
    <t>uuid:be71a2ed-a103-4663-b96b-cfeb42fbe95b</t>
  </si>
  <si>
    <t>uuid:1e32d887-d3fb-486a-9f85-e38c061f0e90</t>
  </si>
  <si>
    <t>9/6/2022 8:18:00</t>
  </si>
  <si>
    <t>uuid:8ea4a11f-e905-423f-8a5f-cbb60ea0212c</t>
  </si>
  <si>
    <t>uuid:8e02c50f-065b-43ef-bb74-16530212b84b</t>
  </si>
  <si>
    <t>9/6/2022 8:19:00</t>
  </si>
  <si>
    <t>uuid:6753ab73-f2a7-4a5f-b281-b34b1ebdc5e3</t>
  </si>
  <si>
    <t>uuid:ea8b4a4c-8fb1-419a-8372-1066b7d6f453</t>
  </si>
  <si>
    <t>uuid:ed65c966-ad5b-4f42-95d6-bde40e0ecb27</t>
  </si>
  <si>
    <t>uuid:67d6003e-1f4f-4b4e-8437-56876d93f3e9</t>
  </si>
  <si>
    <t>uuid:7388aa5d-b630-4855-a37c-e47898796912</t>
  </si>
  <si>
    <t>9/6/2022 8:20:00</t>
  </si>
  <si>
    <t>uuid:e0d387b2-c9e0-4ff2-997b-4d733f55601b</t>
  </si>
  <si>
    <t>uuid:c85bc972-481a-4ade-82b3-03d8ad8930d0</t>
  </si>
  <si>
    <t>uuid:d892959e-351f-4161-8a2d-60dba57e7b88</t>
  </si>
  <si>
    <t>uuid:c2d10c62-5911-422e-9a82-1b476eb61add</t>
  </si>
  <si>
    <t>uuid:3dadae5f-b061-4f08-b0d7-6c4e6d98266d</t>
  </si>
  <si>
    <t>uuid:e539a9a7-8bfc-447a-99ab-051edfea6286</t>
  </si>
  <si>
    <t>9/6/2022 8:21:00</t>
  </si>
  <si>
    <t>uuid:11486ca9-85ea-44fe-8649-9d13b524d6df</t>
  </si>
  <si>
    <t>9/7/2022 8:46:00</t>
  </si>
  <si>
    <t>uuid:560b8fb1-1161-4352-87ea-bbdba7104301</t>
  </si>
  <si>
    <t>9/7/2022 8:47:00</t>
  </si>
  <si>
    <t>uuid:f8340c4a-dade-4858-bf11-fc48307e329d</t>
  </si>
  <si>
    <t>uuid:0bf060e4-b5c1-4bc2-b0ac-8854d11f816b</t>
  </si>
  <si>
    <t>uuid:e0f93f44-b8a3-4493-bd06-195c149597d2</t>
  </si>
  <si>
    <t>uuid:b089b936-2608-4e80-ae60-a9eac2cae844</t>
  </si>
  <si>
    <t>uuid:32bc353a-4d98-486b-9eb6-09ddbe170381</t>
  </si>
  <si>
    <t>uuid:d64b83ff-0e55-46b6-857f-c312474fcaaf</t>
  </si>
  <si>
    <t>9/7/2022 8:48:00</t>
  </si>
  <si>
    <t>uuid:3a78383e-3d50-4998-8e98-5f5dd5a846df</t>
  </si>
  <si>
    <t>uuid:0b4a1f2e-c40a-4660-9891-0d2f9cb833da</t>
  </si>
  <si>
    <t>uuid:502bd5a5-2fde-4b82-8a2c-16bbcc49b2be</t>
  </si>
  <si>
    <t>uuid:af53aec2-7859-4733-980e-408301c67925</t>
  </si>
  <si>
    <t>uuid:49ca32f9-6327-4a09-ab27-573089e6fd3d</t>
  </si>
  <si>
    <t>uuid:89199c0d-bdbb-4fb7-b001-847dcfb6a8d5</t>
  </si>
  <si>
    <t>9/7/2022 8:49:00</t>
  </si>
  <si>
    <t>uuid:278eb9ab-9eab-4f79-8152-2532bb9a2b1b</t>
  </si>
  <si>
    <t>9/8/2022 8:48:00</t>
  </si>
  <si>
    <t>uuid:9977195c-fef2-4320-8550-e931130d1409</t>
  </si>
  <si>
    <t>9/8/2022 8:49:00</t>
  </si>
  <si>
    <t>uuid:838a6c34-8eae-47ec-9627-94ffdf6d48bf</t>
  </si>
  <si>
    <t>uuid:472565f6-a448-49d3-a21a-e8f6f5be59ee</t>
  </si>
  <si>
    <t>9/8/2022 8:50:00</t>
  </si>
  <si>
    <t>uuid:9fe9e770-61ea-4413-88cf-f49d43fbac51</t>
  </si>
  <si>
    <t>uuid:52c17f0e-1bd7-4683-a44e-61aaae31cca7</t>
  </si>
  <si>
    <t>uuid:8c353a22-d59d-4432-ba3d-c5863f673c62</t>
  </si>
  <si>
    <t>uuid:a37e2724-e031-472a-bcd0-c47893ee2501</t>
  </si>
  <si>
    <t>uuid:3b78fbc2-2853-4370-bd8f-a1a2c0819fdf</t>
  </si>
  <si>
    <t>uuid:4fbbc712-27f0-406c-9a10-db5c3eef4885</t>
  </si>
  <si>
    <t>uuid:6e5123d6-30b9-475b-a654-c72a3a19e435</t>
  </si>
  <si>
    <t>9/8/2022 8:51:00</t>
  </si>
  <si>
    <t>uuid:15acaca0-d747-4618-99d0-845a650457ad</t>
  </si>
  <si>
    <t>9/8/2022 8:53:00</t>
  </si>
  <si>
    <t>uuid:8f234719-c609-4e86-9b31-7c3e2c9dd0d4</t>
  </si>
  <si>
    <t>uuid:6a115abe-4fa8-449e-9ed8-7bc196ecbaa5</t>
  </si>
  <si>
    <t>uuid:7e940669-ac3e-4a9b-873a-142a2fc51146</t>
  </si>
  <si>
    <t>9/9/2022 9:52:00</t>
  </si>
  <si>
    <t>uuid:427c53fb-4887-4f76-89c1-ccece8e32314</t>
  </si>
  <si>
    <t>9/9/2022 9:53:00</t>
  </si>
  <si>
    <t>uuid:941cf159-47a8-44b6-a7d2-098679a3088c</t>
  </si>
  <si>
    <t>uuid:8dc7c083-df17-4142-b25b-333c24b17bf4</t>
  </si>
  <si>
    <t>9/9/2022 9:54:00</t>
  </si>
  <si>
    <t>uuid:3d7ad5de-a388-42d6-9dc0-540f7392a28a</t>
  </si>
  <si>
    <t>uuid:a55aad99-f63e-47d7-b419-27a48a37ff31</t>
  </si>
  <si>
    <t>uuid:18729221-507b-43e4-8e94-c2b373ed4d49</t>
  </si>
  <si>
    <t>uuid:8240e5ea-07ff-4e2b-8b06-66c55fe1583d</t>
  </si>
  <si>
    <t>uuid:467d5a72-26dd-4ae6-bd05-8fde6324e6fd</t>
  </si>
  <si>
    <t>9/9/2022 9:55:00</t>
  </si>
  <si>
    <t>uuid:a24ed06f-2096-4939-94eb-bf9dbf2fb957</t>
  </si>
  <si>
    <t>uuid:c4908250-c949-49ed-ba0b-215b1bd99dee</t>
  </si>
  <si>
    <t>uuid:b493f520-ab7f-4900-a6f4-4b46d579adaa</t>
  </si>
  <si>
    <t>uuid:967feda8-6bff-494d-b12f-8cb51934a34b</t>
  </si>
  <si>
    <t>uuid:986b303b-102e-4e49-bc39-4a8a1414205e</t>
  </si>
  <si>
    <t>uuid:93a55aa1-3f96-4ef8-b48e-1c27d54c055b</t>
  </si>
  <si>
    <t>9/10/2022 9:36:00</t>
  </si>
  <si>
    <t>uuid:f0978128-da89-46ee-ac59-5aca61ab83f9</t>
  </si>
  <si>
    <t>uuid:f4d827bb-04bb-4a0f-84ef-834a5182448c</t>
  </si>
  <si>
    <t>uuid:4615930c-a72c-4c2b-9bc6-dfa59f674c04</t>
  </si>
  <si>
    <t>uuid:204ab56e-eab0-4c97-9b21-34ad7623117b</t>
  </si>
  <si>
    <t>uuid:aecfc919-7df2-4221-9706-630a83b74d71</t>
  </si>
  <si>
    <t>9/10/2022 9:37:00</t>
  </si>
  <si>
    <t>uuid:069c9b9b-a09a-4842-adda-be40c4b2a78e</t>
  </si>
  <si>
    <t>uuid:77f13beb-d2de-44c5-9d9e-fd78a879fbad</t>
  </si>
  <si>
    <t>uuid:f9ed53d0-1942-4d0e-8598-f1915d1f7f20</t>
  </si>
  <si>
    <t>9/10/2022 9:38:00</t>
  </si>
  <si>
    <t>uuid:175ec757-c87a-4514-a5d8-7b7a5c718f6b</t>
  </si>
  <si>
    <t>uuid:51d3a69d-083a-43dd-b77c-557fdbb12803</t>
  </si>
  <si>
    <t>uuid:61017b88-7cc3-4b56-9eb1-69f3893f1520</t>
  </si>
  <si>
    <t>9/10/2022 9:39:00</t>
  </si>
  <si>
    <t>uuid:8562b44c-06cc-425d-898d-e24be7944be2</t>
  </si>
  <si>
    <t>uuid:017e1302-d33f-468a-ba96-26ef2e84f5e7</t>
  </si>
  <si>
    <t>uuid:b131c68b-1096-4149-905c-2973a1334d45</t>
  </si>
  <si>
    <t>9/12/2022 8:40:00</t>
  </si>
  <si>
    <t>uuid:99b4573d-47f5-454e-ad64-a5073c5d7462</t>
  </si>
  <si>
    <t>uuid:54e7d0d5-0349-48b2-afe5-e85b64d8fed3</t>
  </si>
  <si>
    <t>uuid:4863c1df-526b-43f4-a4d7-6f29fca68d50</t>
  </si>
  <si>
    <t>uuid:5bfff425-905e-4063-9e3b-31da6447dd5d</t>
  </si>
  <si>
    <t>uuid:3bb0769a-2750-45ff-9a11-887fcf5da959</t>
  </si>
  <si>
    <t>uuid:f3d0c2b8-54f7-41a7-b6c1-dd1f57ef831c</t>
  </si>
  <si>
    <t>uuid:6ca603ac-d9e2-4947-856b-e11c1d78f46e</t>
  </si>
  <si>
    <t>9/12/2022 8:41:00</t>
  </si>
  <si>
    <t>uuid:907664cd-6141-488e-aa45-5b5841cccec9</t>
  </si>
  <si>
    <t>uuid:a4f83f80-1e9e-409e-8094-d0b27a25a091</t>
  </si>
  <si>
    <t>uuid:d796d3b8-ae3d-44c6-987b-ebdd38d14141</t>
  </si>
  <si>
    <t>uuid:a8abf16b-dbde-4b4f-8fc5-444c51b083bb</t>
  </si>
  <si>
    <t>uuid:1d86ab88-d3cd-4bb3-8eb5-dd8b5419019b</t>
  </si>
  <si>
    <t>uuid:3d41db7a-86e4-49ec-bca0-c2651a837975</t>
  </si>
  <si>
    <t>9/12/2022 8:42:00</t>
  </si>
  <si>
    <t>uuid:d7a33667-204f-400e-bf3b-81c07a35489b</t>
  </si>
  <si>
    <t>9/13/2022 8:25:00</t>
  </si>
  <si>
    <t>uuid:2a69b037-fd8a-4ddb-88a2-6e4c4768a6e7</t>
  </si>
  <si>
    <t>uuid:4ba9ef94-8cba-4037-a87d-a65f4e120c5d</t>
  </si>
  <si>
    <t>uuid:9013a9c4-32fc-49a2-bbb8-f5eec04b4a90</t>
  </si>
  <si>
    <t>uuid:f8d522e8-097e-47f4-9084-b9ca45aa2048</t>
  </si>
  <si>
    <t>uuid:f41e434f-d093-4fe3-ad3c-cd01b564afa4</t>
  </si>
  <si>
    <t>9/13/2022 8:26:00</t>
  </si>
  <si>
    <t>uuid:db04075b-e639-467d-a1da-1140da4d2218</t>
  </si>
  <si>
    <t>uuid:8011b818-0520-4c9b-9840-7c92af848db6</t>
  </si>
  <si>
    <t>uuid:2ac34abc-de46-41e3-af81-411bb94a142e</t>
  </si>
  <si>
    <t>uuid:cda5ed89-5cb5-4252-aa19-7b9126f7cc44</t>
  </si>
  <si>
    <t>uuid:ac163b9e-c6da-4bc9-9366-94b7d2be3288</t>
  </si>
  <si>
    <t>9/13/2022 8:27:00</t>
  </si>
  <si>
    <t>uuid:7fd3dec1-4fb1-4c4a-8a03-b1879dc487c8</t>
  </si>
  <si>
    <t>uuid:c924c838-e89a-4630-bae3-3fdb5817134c</t>
  </si>
  <si>
    <t>uuid:3cd6707b-7256-4f04-b4a6-7c9fa0617dd2</t>
  </si>
  <si>
    <t>uuid:3d0b90c4-fb09-44c0-be83-903afcaf25ae</t>
  </si>
  <si>
    <t>9/14/2022 10:02:00</t>
  </si>
  <si>
    <t>uuid:478f3665-244a-4965-ac66-35ef27273dc2</t>
  </si>
  <si>
    <t>9/14/2022 10:03:00</t>
  </si>
  <si>
    <t>uuid:2be76b17-7621-4ee0-b93d-de781d21cd43</t>
  </si>
  <si>
    <t>uuid:2dd4add1-2c87-4566-8090-899d2f2d59a8</t>
  </si>
  <si>
    <t>uuid:3a733c00-2c42-43d9-8adc-3cbcaaaf19d4</t>
  </si>
  <si>
    <t>uuid:ea66f60c-5493-4abf-ba12-9c5a438573b2</t>
  </si>
  <si>
    <t>uuid:bb53463f-2524-4bb7-9160-7ea994c2513b</t>
  </si>
  <si>
    <t>uuid:b2cf2303-99a8-4e77-8214-22de2a37321f</t>
  </si>
  <si>
    <t>9/14/2022 10:04:00</t>
  </si>
  <si>
    <t>uuid:41614e91-3c45-4603-9d8f-8d5ea39d44e2</t>
  </si>
  <si>
    <t>uuid:e52ae5d2-af1b-42aa-b6a4-20c4f0bdbaa9</t>
  </si>
  <si>
    <t>uuid:3a31ed8e-055a-409d-858e-fca22576bfc4</t>
  </si>
  <si>
    <t>uuid:0c2b24dd-7aa7-4ff8-9e56-4cd3a72ed815</t>
  </si>
  <si>
    <t>She has resigned officially</t>
  </si>
  <si>
    <t>uuid:d8b3ffcb-dcd9-4fbc-b08f-eddeab698e3e</t>
  </si>
  <si>
    <t>9/14/2022 10:05:00</t>
  </si>
  <si>
    <t>uuid:9021e2e0-dba9-420f-bdd3-b6445e40edc9</t>
  </si>
  <si>
    <t>uuid:f91de40e-2833-4464-b94e-821e8097f624</t>
  </si>
  <si>
    <t>9/15/2022 8:47:00</t>
  </si>
  <si>
    <t>uuid:5d4803b9-e280-4cb9-84d6-d10cda7bd89b</t>
  </si>
  <si>
    <t>uuid:5b9ef476-723d-4334-ad1f-a5f354422cd0</t>
  </si>
  <si>
    <t>uuid:fa189925-4da9-4b36-a912-be78066e64f4</t>
  </si>
  <si>
    <t>9/15/2022 8:48:00</t>
  </si>
  <si>
    <t>uuid:a505a1de-ec0f-4284-8a3c-934c85219f60</t>
  </si>
  <si>
    <t>uuid:c3809c37-20e5-4786-975f-df35b0e965df</t>
  </si>
  <si>
    <t>uuid:8c418ad6-14d0-4376-ae81-69e1b8c74794</t>
  </si>
  <si>
    <t>uuid:2cb89363-a37e-4432-b856-4309146ead8a</t>
  </si>
  <si>
    <t>uuid:3edc1a03-f5a5-4cb2-b2d6-19988d3330da</t>
  </si>
  <si>
    <t>uuid:2bf16178-bee2-4ce7-aa24-896dfa0fcda3</t>
  </si>
  <si>
    <t>uuid:a72f833f-1613-4eeb-8664-a4d3af353c48</t>
  </si>
  <si>
    <t>uuid:e8aa8f76-cb00-48f3-b4ad-8101830fc572</t>
  </si>
  <si>
    <t>9/15/2022 8:49:00</t>
  </si>
  <si>
    <t>uuid:170de4f7-b75f-4874-b9d7-6209da4db1b0</t>
  </si>
  <si>
    <t>uuid:66acaa52-2509-487b-9665-d9b7185e4502</t>
  </si>
  <si>
    <t>uuid:3104196c-4cae-4edd-aac4-23bedc27b236</t>
  </si>
  <si>
    <t>9/16/2022 8:57:00</t>
  </si>
  <si>
    <t>uuid:37b2c91c-8071-43de-bc58-c49100108d0c</t>
  </si>
  <si>
    <t>uuid:34c05c1b-7885-4541-8119-dc0524e34840</t>
  </si>
  <si>
    <t>uuid:f84c2515-db3f-475f-b3dc-d288320c2186</t>
  </si>
  <si>
    <t>uuid:5608f700-451d-4db4-b3b7-e90dc9ed8c87</t>
  </si>
  <si>
    <t>9/16/2022 8:58:00</t>
  </si>
  <si>
    <t>uuid:d066a44d-bcc7-4166-86e9-f757fcc915a5</t>
  </si>
  <si>
    <t>uuid:2e60cab5-f91a-4d41-8341-a2c503e742b2</t>
  </si>
  <si>
    <t>uuid:dd88a99f-112c-4ea8-adf4-e83b6e0e520a</t>
  </si>
  <si>
    <t>uuid:ef664992-c21d-4d74-a47d-93dffe9dde83</t>
  </si>
  <si>
    <t>uuid:d85a6770-62cf-4d64-a163-718dc03a8f0e</t>
  </si>
  <si>
    <t>uuid:86211de5-bc1d-4328-ac3e-11c9d0431a35</t>
  </si>
  <si>
    <t>uuid:dc2adff7-5d1b-4eae-abfb-7556426b9f4e</t>
  </si>
  <si>
    <t>9/16/2022 8:59:00</t>
  </si>
  <si>
    <t>uuid:8d1d587f-4dfa-43d2-9a5c-5f1d63378119</t>
  </si>
  <si>
    <t>She has officially resigned</t>
  </si>
  <si>
    <t>uuid:228e0847-e645-48be-add0-10518db974b6</t>
  </si>
  <si>
    <t>uuid:4e45b3c0-725c-4b7d-9940-f0dc020d3b94</t>
  </si>
  <si>
    <t>9/17/2022 9:01:00</t>
  </si>
  <si>
    <t>uuid:08ec667a-7618-4379-b9cd-19716752b59g</t>
  </si>
  <si>
    <t>uuid:e3c9afd5-f2c3-48dc-aed0-91fc226f2786</t>
  </si>
  <si>
    <t>uuid:c66538b2-9360-4509-ac35-e3f4068d9417</t>
  </si>
  <si>
    <t>Went for group departmental hang out</t>
  </si>
  <si>
    <t>uuid:b9105cc8-9a81-4419-9a95-2cc892f22a63</t>
  </si>
  <si>
    <t>9/17/2022 9:02:00</t>
  </si>
  <si>
    <t>uuid:5a523dbc-d06c-40f5-8ced-530ca9776905</t>
  </si>
  <si>
    <t>uuid:c830227b-5a21-4490-a979-a939b46e0dc7</t>
  </si>
  <si>
    <t>uuid:f0c25dc5-17a8-4561-b60c-ef240e8acdb8</t>
  </si>
  <si>
    <t>9/17/2022 9:03:00</t>
  </si>
  <si>
    <t>uuid:c282c858-ca81-48cb-b11f-ee94b503eda9</t>
  </si>
  <si>
    <t>uuid:e2d62c8a-598d-48c9-830f-f71e661f2c9c</t>
  </si>
  <si>
    <t>9/17/2022 9:05:00</t>
  </si>
  <si>
    <t>uuid:09992169-a699-471e-892b-888b348e1af3</t>
  </si>
  <si>
    <t>9/17/2022 9:06:00</t>
  </si>
  <si>
    <t>uuid:00da8035-07f5-4212-b73a-739427baefaw</t>
  </si>
  <si>
    <t>uuid:f49707db-cd8f-414f-b71a-1e8525261562</t>
  </si>
  <si>
    <t>uuid:e2e37209-84d6-432a-9956-028edd1e6084</t>
  </si>
  <si>
    <t>9/17/2022 9:22:00</t>
  </si>
  <si>
    <t>uuid:7f10a3b3-2434-4b3d-8ab3-d9f54dd1de0v</t>
  </si>
  <si>
    <t>9/19/2022 9:01:00</t>
  </si>
  <si>
    <t>uuid:08ec667a-7618-4379-b9cd-19716752b59f</t>
  </si>
  <si>
    <t>uuid:e3c9afd5-f2c3-48dc-aed0-91fc226f2787</t>
  </si>
  <si>
    <t>uuid:c66538b2-9360-4509-ac35-e3f4068d9410</t>
  </si>
  <si>
    <t>uuid:b9105cc8-9a81-4419-9a95-2cc892f22a64</t>
  </si>
  <si>
    <t>9/19/2022 9:02:00</t>
  </si>
  <si>
    <t>uuid:5a523dbc-d06c-40f5-8ced-530ca9776904</t>
  </si>
  <si>
    <t>uuid:c830227b-5a21-4490-a979-a939b46e0dc6</t>
  </si>
  <si>
    <t>uuid:f0c25dc5-17a8-4561-b60c-ef240e8acdb7</t>
  </si>
  <si>
    <t>9/19/2022 9:03:00</t>
  </si>
  <si>
    <t>uuid:c282c858-ca81-48cb-b11f-ee94b503eda7</t>
  </si>
  <si>
    <t>uuid:e2d62c8a-598d-48c9-830f-f71e661f2c9f</t>
  </si>
  <si>
    <t>9/19/2022 9:05:00</t>
  </si>
  <si>
    <t>uuid:09992169-a699-471e-892b-888b348e1af7</t>
  </si>
  <si>
    <t>9/19/2022 9:06:00</t>
  </si>
  <si>
    <t>uuid:00da8035-07f5-4212-b73a-739427baefad</t>
  </si>
  <si>
    <t>uuid:f49707db-cd8f-414f-b71a-1e8525261561</t>
  </si>
  <si>
    <t>uuid:e2e37209-84d6-432a-9956-028edd1e6081</t>
  </si>
  <si>
    <t>9/19/2022 9:22:00</t>
  </si>
  <si>
    <t>Resigned</t>
  </si>
  <si>
    <t>uuid:7f10a3b3-2434-4b3d-8ab3-d9f54dd1de0b</t>
  </si>
  <si>
    <t>9/20/2022 9:19:00</t>
  </si>
  <si>
    <t>uuid:cf98aee5-2d82-49ba-b13c-a4330e3beee9</t>
  </si>
  <si>
    <t>9/20/2022 9:20:00</t>
  </si>
  <si>
    <t>uuid:99494103-de17-4906-b6aa-861f987db2e3</t>
  </si>
  <si>
    <t>uuid:44676c7e-f32b-4a76-aa42-467d1783757b</t>
  </si>
  <si>
    <t>uuid:ea3894e0-4515-47ef-8300-9d7d3c0a0774</t>
  </si>
  <si>
    <t>9/20/2022 9:24:00</t>
  </si>
  <si>
    <t>uuid:3257b6d3-be88-4a45-ab7f-f9f621820efd</t>
  </si>
  <si>
    <t>9/20/2022 9:32:00</t>
  </si>
  <si>
    <t>uuid:9f6eb3ec-0212-45a2-8e7b-8f0ca63cf978</t>
  </si>
  <si>
    <t>uuid:18647bc1-fad7-4d67-9752-4b0832c66ca3</t>
  </si>
  <si>
    <t>uuid:122e930a-e66d-4041-8c32-f30b39243d85</t>
  </si>
  <si>
    <t>uuid:757a52f6-4510-41d5-b332-1bd9ddcadb25</t>
  </si>
  <si>
    <t>uuid:aaa0a723-be74-48be-b1fb-18bf91499117</t>
  </si>
  <si>
    <t>uuid:c1b094d3-8bcc-462c-9bf1-625c31268168</t>
  </si>
  <si>
    <t>9/20/2022 9:33:00</t>
  </si>
  <si>
    <t>Malaria and catarrh</t>
  </si>
  <si>
    <t>uuid:5a508fa3-ac33-4d59-aba3-dee76ff53f1a</t>
  </si>
  <si>
    <t>9/20/2022 9:34:00</t>
  </si>
  <si>
    <t>uuid:d1dbd471-4758-4513-9058-3cf3cda47edc</t>
  </si>
  <si>
    <t>uuid:9f5cbc97-97b1-4155-bc53-5fabc1700733</t>
  </si>
  <si>
    <t>START DATE</t>
  </si>
  <si>
    <t>END DATE</t>
  </si>
  <si>
    <t>All</t>
  </si>
  <si>
    <t>Timestamp</t>
  </si>
  <si>
    <t>Month Name</t>
  </si>
  <si>
    <t>9/21/2022 8:46:00</t>
  </si>
  <si>
    <t>uuid:65b287a2-bf0c-4256-abe0-0c791fc997ab</t>
  </si>
  <si>
    <t>uuid:44593bc7-03ea-4354-a248-4bdc580bee04</t>
  </si>
  <si>
    <t>9/21/2022 8:47:00</t>
  </si>
  <si>
    <t>uuid:40365111-78cb-4641-8827-f3a7b09a6920</t>
  </si>
  <si>
    <t>uuid:32f6c174-9081-480c-acd5-252bfdd4e9df</t>
  </si>
  <si>
    <t>uuid:79a35987-5741-4afb-a3c8-d1093ff2f271</t>
  </si>
  <si>
    <t>uuid:23ddac29-6826-4e55-96ce-6bb01c8ac9ad</t>
  </si>
  <si>
    <t>uuid:6f1f458e-63a2-4edb-b9c3-90b19bc8e78f</t>
  </si>
  <si>
    <t>uuid:84bf7086-9b22-482c-934c-0a691bb045d5</t>
  </si>
  <si>
    <t>uuid:6f8b9a6e-2010-466e-9b8c-e6574db719c1</t>
  </si>
  <si>
    <t>uuid:d1d96a9e-42d0-4531-b22b-4f7dc656e1a2</t>
  </si>
  <si>
    <t>9/21/2022 8:48:00</t>
  </si>
  <si>
    <t>uuid:d2180de8-8752-4988-84f9-28ae4b45c4d8</t>
  </si>
  <si>
    <t>uuid:5c523a35-5243-4510-b801-b34e5def7234</t>
  </si>
  <si>
    <t>uuid:a7ede94d-9989-41e8-bc50-a6651ed1edd2</t>
  </si>
  <si>
    <t>uuid:49697cff-4db5-4ab9-9720-978969376622</t>
  </si>
  <si>
    <t>Days Present 
for that Month</t>
  </si>
  <si>
    <t>Attendance 
Staff Ranking</t>
  </si>
  <si>
    <t>6 Working 
Days % Tracker</t>
  </si>
  <si>
    <t>Staff Name</t>
  </si>
  <si>
    <t>S/N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</si>
  <si>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</si>
  <si>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</si>
  <si>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</si>
  <si>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</si>
  <si>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</si>
  <si>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</si>
  <si>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</si>
  <si>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</si>
  <si>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</si>
  <si>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</si>
  <si>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</si>
  <si>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</si>
  <si>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9/22/2022 8:49:00</t>
  </si>
  <si>
    <t>uuid:ba4dc472-ea0a-4a29-9141-8264c6d2e4fa</t>
  </si>
  <si>
    <t>uuid:4402759e-cdc9-4c41-8979-8c3d6df8fad7</t>
  </si>
  <si>
    <t>uuid:6d5bcdbf-d368-4f22-ace6-523242815111</t>
  </si>
  <si>
    <t>9/22/2022 8:50:00</t>
  </si>
  <si>
    <t>uuid:41e44f1c-ada6-4e33-8f8a-b8f93b05a257</t>
  </si>
  <si>
    <t>uuid:30e60ac5-9efc-4afa-929d-ea339fdec37e</t>
  </si>
  <si>
    <t>9/22/2022 8:51:00</t>
  </si>
  <si>
    <t>uuid:93fbe513-5b9b-4b74-9488-505e35e82136</t>
  </si>
  <si>
    <t>uuid:30596b44-9da5-448d-be3f-cfcd9af46894</t>
  </si>
  <si>
    <t>uuid:c33d634d-9908-4e2d-89df-8540f9d55323</t>
  </si>
  <si>
    <t>uuid:a001cefc-7a6c-437a-99f1-a705dadd1f1e</t>
  </si>
  <si>
    <t>uuid:4a258d61-a462-4843-a6cb-149aa51e717e</t>
  </si>
  <si>
    <t>9/22/2022 8:52:00</t>
  </si>
  <si>
    <t>uuid:7d2704bb-8914-4ae9-929f-a2afeb5b92be</t>
  </si>
  <si>
    <t>uuid:36bf31ea-9c8e-4e69-884c-ada6d3802f98</t>
  </si>
  <si>
    <t>uuid:ac60d5e2-750c-467b-aea7-e993b296d962</t>
  </si>
  <si>
    <t>uuid:8828bfd9-e754-45ab-860b-739ebb89560c</t>
  </si>
  <si>
    <t>9/23/2022 8:22:00</t>
  </si>
  <si>
    <t>uuid:acdba62e-53ea-4b31-9f9c-4485ba8115c1</t>
  </si>
  <si>
    <t>uuid:32d6cd59-0195-4aa5-81f4-b4a8922e0dac</t>
  </si>
  <si>
    <t>uuid:6ea12b11-b503-4b0c-ac50-4777ca520c8d</t>
  </si>
  <si>
    <t>uuid:a6f30875-3e59-430f-b648-a97727d6207b</t>
  </si>
  <si>
    <t>9/23/2022 8:23:00</t>
  </si>
  <si>
    <t>uuid:29f46355-653f-4ec6-8302-46841a453fd2</t>
  </si>
  <si>
    <t>uuid:18656ac9-3bed-4b5a-87b7-8628abea43e8</t>
  </si>
  <si>
    <t>uuid:12b61650-45f0-4063-aeb4-d5ffc811ec32</t>
  </si>
  <si>
    <t>uuid:189acdcd-df51-41da-8eb3-d136bba8ca7f</t>
  </si>
  <si>
    <t>uuid:af3bd744-6896-4053-9572-55e74413523d</t>
  </si>
  <si>
    <t>uuid:f422ef13-b411-438e-93c9-0a828aea7432</t>
  </si>
  <si>
    <t>uuid:e037f705-bac2-4d93-89b8-e91009d8800c</t>
  </si>
  <si>
    <t>9/23/2022 8:24:00</t>
  </si>
  <si>
    <t>uuid:e87d0d28-42a0-4750-9744-8e19bf96dd21</t>
  </si>
  <si>
    <t>uuid:23c10ed5-a274-409e-9e26-2ff48cda3c8d</t>
  </si>
  <si>
    <t>uuid:7e5358fd-85f7-4076-a8bd-468369807633</t>
  </si>
  <si>
    <t>TODAY'S DATE</t>
  </si>
  <si>
    <t>CURRENT TIME</t>
  </si>
  <si>
    <t>WEEKDAY:</t>
  </si>
  <si>
    <t>WEEK OF THE YEAR</t>
  </si>
  <si>
    <t>HQ Fleet Staff Attendance</t>
  </si>
  <si>
    <t>9/24/2022 9:04:00</t>
  </si>
  <si>
    <t>uuid:52d029cf-6071-470c-a0e7-af876f2ded6e</t>
  </si>
  <si>
    <t>uuid:aae2725d-3a71-4856-925f-bbfafc627ca6</t>
  </si>
  <si>
    <t>uuid:21de8a4b-32fd-485b-a37f-e19197f1a694</t>
  </si>
  <si>
    <t>uuid:c457dea2-c53c-4267-a6f4-d3d972bd66f8</t>
  </si>
  <si>
    <t>uuid:2bac03a0-4f0a-47cc-b8ac-daceb23c2d70</t>
  </si>
  <si>
    <t>uuid:e0cc15f1-bfb0-42f9-87a0-e7bf906fb9e3</t>
  </si>
  <si>
    <t>9/24/2022 9:05:00</t>
  </si>
  <si>
    <t>uuid:3b42d740-f654-456f-addc-5e415cf463e5</t>
  </si>
  <si>
    <t>uuid:020c2416-bb66-41ca-8330-c5ce4012e1ec</t>
  </si>
  <si>
    <t>uuid:76452bdd-8a40-4705-b044-96aacb655772</t>
  </si>
  <si>
    <t>uuid:a87a0f09-0b91-484d-afbb-c027af54484f</t>
  </si>
  <si>
    <t>uuid:36fba2df-c801-49bf-9cc3-18b7886886dc</t>
  </si>
  <si>
    <t>9/24/2022 9:06:00</t>
  </si>
  <si>
    <t>uuid:0a66d6d6-7f16-45a9-9199-87472489865f</t>
  </si>
  <si>
    <t>uuid:5df610f0-cb4a-4cdd-9778-f2559434ac2b</t>
  </si>
  <si>
    <t>uuid:4ae6a8bf-6588-4325-a98b-02b6ffd35ef3</t>
  </si>
  <si>
    <t>9/26/2022 9:10:00</t>
  </si>
  <si>
    <t>uuid:df9e6f80-0c66-41e4-8ace-51f9580b7278</t>
  </si>
  <si>
    <t>9/26/2022 9:11:00</t>
  </si>
  <si>
    <t>uuid:bd714b75-1d35-4b39-8b86-f189c31bbc75</t>
  </si>
  <si>
    <t>9/26/2022 9:12:00</t>
  </si>
  <si>
    <t>uuid:18476d3d-5cd9-4dbb-b863-1a35ff38502d</t>
  </si>
  <si>
    <t>uuid:0ce70168-951d-42e8-878e-fec126fe6b1b</t>
  </si>
  <si>
    <t>uuid:b33f885e-2c97-43f5-82b0-4b747c9ea8aa</t>
  </si>
  <si>
    <t>uuid:884435ef-249b-408e-b303-41cc66dd0170</t>
  </si>
  <si>
    <t>9/26/2022 9:13:00</t>
  </si>
  <si>
    <t>uuid:d7cb3861-e971-4594-9874-7ea9b62def83</t>
  </si>
  <si>
    <t>uuid:a26a9218-75f3-4a10-9a54-7dff55c12c18</t>
  </si>
  <si>
    <t>uuid:2a932626-ecd3-479b-9150-8520e4a499fe</t>
  </si>
  <si>
    <t>uuid:f8b5ce9d-431e-4e3c-998c-e272bb2bc0ee</t>
  </si>
  <si>
    <t>9/26/2022 9:14:00</t>
  </si>
  <si>
    <t>uuid:fb95edee-599e-4b51-a80b-c08292ac4088</t>
  </si>
  <si>
    <t>uuid:9d7169dc-33ee-4ab8-ae5f-0a9f9a169e4b</t>
  </si>
  <si>
    <t>Went out</t>
  </si>
  <si>
    <t>uuid:ce16cb92-a2f4-4194-b5b4-2657bb597b76</t>
  </si>
  <si>
    <t>uuid:e18e4487-fcd3-4b4e-bb23-6efcc2961ff1</t>
  </si>
  <si>
    <t>9/27/2022 9:34:00</t>
  </si>
  <si>
    <t>uuid:6271e849-3599-48ec-8e25-39ab7f32340d</t>
  </si>
  <si>
    <t>uuid:e4d1b76d-f9d5-496f-8f41-f47d380ea151</t>
  </si>
  <si>
    <t>uuid:0fb79734-6e4d-491a-8e9e-21acf9a9d2a1</t>
  </si>
  <si>
    <t>uuid:9e2ed0ef-55dd-49df-94a7-a784634aaffd</t>
  </si>
  <si>
    <t>9/27/2022 9:35:00</t>
  </si>
  <si>
    <t>uuid:e2542f13-164a-4179-b3b8-c0f36bf70eb4</t>
  </si>
  <si>
    <t>uuid:a9577ef2-469b-4876-9d6b-e78484870630</t>
  </si>
  <si>
    <t>uuid:e7df77af-b852-48b8-ac9b-3e1eb04e42df</t>
  </si>
  <si>
    <t>uuid:8538b31c-eb09-445d-9bdc-2fca07c47f99</t>
  </si>
  <si>
    <t>uuid:808f38d2-3b60-4c0a-bab8-fdb0ac3e1a47</t>
  </si>
  <si>
    <t>uuid:c8fc17d1-a729-4d33-a612-3ec0aa8ef3f9</t>
  </si>
  <si>
    <t>uuid:fe866caf-56b3-4e05-8b64-c657900592a3</t>
  </si>
  <si>
    <t>9/27/2022 9:36:00</t>
  </si>
  <si>
    <t>uuid:4a3413d0-e154-41f6-92cf-2528b593eb5f</t>
  </si>
  <si>
    <t>uuid:5afc53cc-008a-4d18-9efc-746c7d0cbf61</t>
  </si>
  <si>
    <t>uuid:f637d43d-9e7d-4ee6-a8cc-6c162dd52619</t>
  </si>
  <si>
    <t>9/28/2022 9:19:00</t>
  </si>
  <si>
    <t>uuid:cfc5c51f-d64d-401e-ba18-8bac85dd2bc5</t>
  </si>
  <si>
    <t>uuid:74b1ca24-1e65-4b94-8bec-dfe726b030ba</t>
  </si>
  <si>
    <t>9/28/2022 9:20:00</t>
  </si>
  <si>
    <t>uuid:0c3a6643-5580-4155-9709-e1c080ca6a84</t>
  </si>
  <si>
    <t>uuid:bbab4938-07db-4aa5-a9cd-04edadb3c65a</t>
  </si>
  <si>
    <t>uuid:75f8eec7-8b09-44b4-b804-c05099e5dbf2</t>
  </si>
  <si>
    <t>uuid:6bad8d0d-5a29-4958-bac3-3f8d1ab53ba4</t>
  </si>
  <si>
    <t>uuid:607a9266-b0ab-4cb5-8576-a74099c8574a</t>
  </si>
  <si>
    <t>uuid:aa27ada3-5b57-420e-aa11-96d36ed6a8b3</t>
  </si>
  <si>
    <t>uuid:1691b9c2-2dc2-496c-a5f3-96049c173f24</t>
  </si>
  <si>
    <t>uuid:db5eb7a3-d88d-4dbc-b575-81884c4fc90f</t>
  </si>
  <si>
    <t>9/28/2022 9:21:00</t>
  </si>
  <si>
    <t>uuid:43925130-5293-4e13-8ec1-bfc00ac1fa03</t>
  </si>
  <si>
    <t>uuid:a4157d29-1b22-4be3-8d11-3b9f5be1b8ec</t>
  </si>
  <si>
    <t>uuid:13967840-f6af-46b6-8873-ec32957061fb</t>
  </si>
  <si>
    <t>uuid:a8849f89-57d1-480d-8350-2a2b8f92e195</t>
  </si>
  <si>
    <t>9/29/2022 8:47:00</t>
  </si>
  <si>
    <t>uuid:2ed7cea9-f65d-455d-b5c9-c180b694c73c</t>
  </si>
  <si>
    <t>9/29/2022 8:48:00</t>
  </si>
  <si>
    <t>uuid:f07202c8-4102-4024-9f15-b28208abac7b</t>
  </si>
  <si>
    <t>uuid:13f4be45-61ba-4690-9533-a37b0cb724bc</t>
  </si>
  <si>
    <t>uuid:a7bd1283-526f-45e0-9db3-db75f7d96b3d</t>
  </si>
  <si>
    <t>uuid:c1cb9727-6b05-4189-bd8c-16882a10769a</t>
  </si>
  <si>
    <t>uuid:f4cbc735-e1cf-4a3f-b6bc-0a974b348b1e</t>
  </si>
  <si>
    <t>uuid:b4326b11-9b00-4630-881a-d225d06adfa3</t>
  </si>
  <si>
    <t>uuid:f177f768-f6cd-4901-9f1d-bb25d2ec29c9</t>
  </si>
  <si>
    <t>uuid:7eccf8e5-8ee8-4bf9-8b03-a3a75bd5cac9</t>
  </si>
  <si>
    <t>9/29/2022 8:49:00</t>
  </si>
  <si>
    <t>uuid:cffb0b50-e9a5-48fc-81d7-57c7ca06da89</t>
  </si>
  <si>
    <t>9/29/2022 8:50:00</t>
  </si>
  <si>
    <t>uuid:4f567502-98c3-4ea7-b829-c7f7838c5d31</t>
  </si>
  <si>
    <t>uuid:c383a4f1-f956-456f-b8ba-bb0bf9879500</t>
  </si>
  <si>
    <t>uuid:f1dfcf2f-4d28-41b1-8aea-bfc9485088cf</t>
  </si>
  <si>
    <t>uuid:e1dff37f-8234-4043-b33b-e448b9482849</t>
  </si>
  <si>
    <t>9/30/2022 8:49:00</t>
  </si>
  <si>
    <t>uuid:c48e5b38-7321-437a-882b-60b172fa5794</t>
  </si>
  <si>
    <t>uuid:d0244666-4cf7-47cc-a973-b3471f0bf5d9</t>
  </si>
  <si>
    <t>9/30/2022 8:50:00</t>
  </si>
  <si>
    <t>uuid:5c9b4ab4-a31c-4d60-93e1-2e247831e980</t>
  </si>
  <si>
    <t>uuid:8b12f87f-ffd4-43c3-8177-32bee9549cfd</t>
  </si>
  <si>
    <t>uuid:012ec866-087f-4581-ba29-dc17db4164ea</t>
  </si>
  <si>
    <t>uuid:e9cf2a7a-f2de-44b9-a792-fa5093bd4674</t>
  </si>
  <si>
    <t>uuid:2d89c800-bc68-4d0d-9baa-4471cf6b5c3a</t>
  </si>
  <si>
    <t>uuid:d693fec5-4a30-4832-8a53-26eeea9af94d</t>
  </si>
  <si>
    <t>uuid:f08da40d-7d0d-4e6f-b48e-e02aadfe4190</t>
  </si>
  <si>
    <t>uuid:7db607e0-9eb9-4b9c-98f1-cf3dcd3f2584</t>
  </si>
  <si>
    <t>9/30/2022 8:51:00</t>
  </si>
  <si>
    <t>uuid:b2383a99-9b60-43f8-a50f-cab768adca8d</t>
  </si>
  <si>
    <t>uuid:9372d87c-35f2-4d35-be26-83c00ac0967d</t>
  </si>
  <si>
    <t>uuid:5d7e1946-e78a-4ad2-a1ba-5759f73157f3</t>
  </si>
  <si>
    <t>uuid:4e711a08-7415-4186-aff3-e13010af5e08</t>
  </si>
  <si>
    <t>10/1/2022 10:54:00</t>
  </si>
  <si>
    <t>uuid:9c8aee7f-3d47-4dca-9e46-6e6d49b3dcd4</t>
  </si>
  <si>
    <t>uuid:48e76dfb-5464-4810-b579-1ebef1bd618b</t>
  </si>
  <si>
    <t>uuid:a5a78459-1c45-4e57-9f60-418663d62cdb</t>
  </si>
  <si>
    <t>uuid:c24a7132-cb18-478a-8c01-685c08591838</t>
  </si>
  <si>
    <t>uuid:df1ee88f-a095-4cf5-9e7b-ab110dc0a78e</t>
  </si>
  <si>
    <t>uuid:7c70816d-452c-4e8d-9768-6f41c7e85dfc</t>
  </si>
  <si>
    <t>uuid:0d67a90c-5cba-4f6a-9695-5c60909f6537</t>
  </si>
  <si>
    <t>uuid:59e888a2-8d7c-4512-938b-46ca41eb251d</t>
  </si>
  <si>
    <t>10/1/2022 10:55:00</t>
  </si>
  <si>
    <t>uuid:5366e9ea-839f-4e5c-9dd1-7e7d282ccd9e</t>
  </si>
  <si>
    <t>uuid:133b16f8-f5b7-4965-819c-be1edfab37e0</t>
  </si>
  <si>
    <t>uuid:9dc91dcb-c243-4939-9b4a-8614849b7190</t>
  </si>
  <si>
    <t>uuid:d643286b-6f59-46e7-8e6f-29fb6518191f</t>
  </si>
  <si>
    <t>uuid:8a6811f1-5f76-44aa-b2b8-c4e0acb6f179</t>
  </si>
  <si>
    <t>10/1/2022 10:56:00</t>
  </si>
  <si>
    <t>uuid:6a838b48-d259-4460-bfe2-7ecf6d285147</t>
  </si>
  <si>
    <t>10/3/2022 10:54:00</t>
  </si>
  <si>
    <t>uuid:9c8aee7f-3d47-4dca-9e46-6e6d49b3dcd5</t>
  </si>
  <si>
    <t>uuid:48e76dfb-5464-4810-b579-1ebef1bd618c</t>
  </si>
  <si>
    <t>uuid:a5a78459-1c45-4e57-9f60-418663d62cdc</t>
  </si>
  <si>
    <t>uuid:c24a7132-cb18-478a-8c01-685c08591839</t>
  </si>
  <si>
    <t>uuid:df1ee88f-a095-4cf5-9e7b-ab110dc0a78f</t>
  </si>
  <si>
    <t>uuid:7c70816d-452c-4e8d-9768-6f41c7e85dfd</t>
  </si>
  <si>
    <t>uuid:0d67a90c-5cba-4f6a-9695-5c60909f6538</t>
  </si>
  <si>
    <t>uuid:59e888a2-8d7c-4512-938b-46ca41eb251e</t>
  </si>
  <si>
    <t>uuid:5366e9ea-839f-4e5c-9dd1-7e7d282ccd9f</t>
  </si>
  <si>
    <t>uuid:133b16f8-f5b7-4965-819c-be1edfab37e1</t>
  </si>
  <si>
    <t>uuid:9dc91dcb-c243-4939-9b4a-8614849b7191</t>
  </si>
  <si>
    <t>uuid:d643286b-6f59-46e7-8e6f-29fb6518191g</t>
  </si>
  <si>
    <t>uuid:8a6811f1-5f76-44aa-b2b8-c4e0acb6f170</t>
  </si>
  <si>
    <t>uuid:6a838b48-d259-4460-bfe2-7ecf6d285148</t>
  </si>
  <si>
    <t>10/4/2022 10:09:00</t>
  </si>
  <si>
    <t>uuid:686898d7-f3ef-4a99-a65c-900b9048c75d</t>
  </si>
  <si>
    <t>10/4/2022 10:10:00</t>
  </si>
  <si>
    <t>uuid:d5580159-78d2-4b54-a939-a0a1561200c1</t>
  </si>
  <si>
    <t>uuid:85384be1-32e8-49c0-b29b-2bb777db8c5e</t>
  </si>
  <si>
    <t>uuid:255462e3-8078-4ad4-b648-adba9125e392</t>
  </si>
  <si>
    <t>uuid:f048c40f-d31f-413c-8469-5a65ac554d28</t>
  </si>
  <si>
    <t>uuid:e3c80e2a-4489-4232-a7c9-9eafecf8bd2b</t>
  </si>
  <si>
    <t>uuid:2db1b29e-f996-40ae-8adf-6170a2be2651</t>
  </si>
  <si>
    <t>10/4/2022 10:11:00</t>
  </si>
  <si>
    <t>uuid:ea6457b4-df43-4cfa-9db8-4928435ed854</t>
  </si>
  <si>
    <t>uuid:948f32a6-a7dc-49ea-8422-37f22473c498</t>
  </si>
  <si>
    <t>uuid:d49fcef2-b6f4-4553-a355-c9df15cba52a</t>
  </si>
  <si>
    <t>uuid:862c6c4d-2953-44ba-8de6-355163c8bafd</t>
  </si>
  <si>
    <t>10/4/2022 10:12:00</t>
  </si>
  <si>
    <t>uuid:5a935be3-83f2-4f6a-a8a8-e58d80e002ab</t>
  </si>
  <si>
    <t>uuid:783cd432-c9d3-448a-803b-5301c83b8d88</t>
  </si>
  <si>
    <t>Federal holiday</t>
  </si>
  <si>
    <t>10/5/2022 10:09:00</t>
  </si>
  <si>
    <t>uuid:686898d7-f3ef-4a99-a65c-900b9048c75e</t>
  </si>
  <si>
    <t>10/5/2022 10:10:00</t>
  </si>
  <si>
    <t>uuid:d5580159-78d2-4b54-a939-a0a1561200c2</t>
  </si>
  <si>
    <t>uuid:85384be1-32e8-49c0-b29b-2bb777db8c5f</t>
  </si>
  <si>
    <t>uuid:255462e3-8078-4ad4-b648-adba9125e393</t>
  </si>
  <si>
    <t>uuid:f048c40f-d31f-413c-8469-5a65ac554d29</t>
  </si>
  <si>
    <t>uuid:e3c80e2a-4489-4232-a7c9-9eafecf8bd2c</t>
  </si>
  <si>
    <t>uuid:2db1b29e-f996-40ae-8adf-6170a2be2652</t>
  </si>
  <si>
    <t>10/5/2022 10:11:00</t>
  </si>
  <si>
    <t>uuid:ea6457b4-df43-4cfa-9db8-4928435ed855</t>
  </si>
  <si>
    <t>uuid:948f32a6-a7dc-49ea-8422-37f22473c499</t>
  </si>
  <si>
    <t>uuid:d49fcef2-b6f4-4553-a355-c9df15cba52b</t>
  </si>
  <si>
    <t>uuid:862c6c4d-2953-44ba-8de6-355163c8bafe</t>
  </si>
  <si>
    <t>10/5/2022 10:12:00</t>
  </si>
  <si>
    <t>uuid:5a935be3-83f2-4f6a-a8a8-e58d80e002ac</t>
  </si>
  <si>
    <t>uuid:783cd432-c9d3-448a-803b-5301c83b8d89</t>
  </si>
  <si>
    <t>10/6/2022 9:07:00</t>
  </si>
  <si>
    <t>uuid:95483a8a-7bbf-4f60-9398-7d21a0121e5a</t>
  </si>
  <si>
    <t>10/6/2022 9:08:00</t>
  </si>
  <si>
    <t>uuid:d9f29ba0-3b73-48d2-9960-cbddcc445276</t>
  </si>
  <si>
    <t>uuid:8b05e37b-859e-4958-87ff-124719503af2</t>
  </si>
  <si>
    <t>uuid:57f0dbdd-7cf2-442f-9823-cce12d4940dc</t>
  </si>
  <si>
    <t>uuid:6d657d5e-0a80-41f9-8d2b-22760dfa4a24</t>
  </si>
  <si>
    <t>uuid:59035dd0-06ba-4e5e-b04d-4dad5f9208cb</t>
  </si>
  <si>
    <t>uuid:6c1ab796-1efa-40f5-9d97-13aaa51400ee</t>
  </si>
  <si>
    <t>uuid:7e02dcda-46e7-4e93-9ea1-83d3665ddcb1</t>
  </si>
  <si>
    <t>uuid:ab10839a-603f-4a83-98bf-df11fafdc54e</t>
  </si>
  <si>
    <t>10/6/2022 9:09:00</t>
  </si>
  <si>
    <t>uuid:f5cd8355-5c1c-415a-80eb-3304cfe1006c</t>
  </si>
  <si>
    <t>uuid:09e57769-6a4f-4d16-8907-75ce3b44a128</t>
  </si>
  <si>
    <t>uuid:9ddee80d-a386-40af-ace3-7762e0031645</t>
  </si>
  <si>
    <t>uuid:ff3aef95-7fe7-48c3-96b0-8caafd6fbb19</t>
  </si>
  <si>
    <t>10/8/2022 14:11:00</t>
  </si>
  <si>
    <t>uuid:af78c24a-2a06-4221-b20e-f2006eb1f931</t>
  </si>
  <si>
    <t>uuid:4c879c50-c108-4eb7-bec5-b32ef15c32a2</t>
  </si>
  <si>
    <t>uuid:2efbbf9e-335a-4aec-b08b-86749227a25f</t>
  </si>
  <si>
    <t>10/8/2022 14:12:00</t>
  </si>
  <si>
    <t>uuid:9bd24ee7-e9b8-4b3f-b65b-1900054c5955</t>
  </si>
  <si>
    <t>uuid:6d5c61b5-c800-48e9-9457-365fa4606d10</t>
  </si>
  <si>
    <t>uuid:b8be1a36-31ed-4a85-a571-8d76660f3e79</t>
  </si>
  <si>
    <t>uuid:fdd18c9e-df6d-4125-8a3d-1b408f8adcca</t>
  </si>
  <si>
    <t>uuid:1053f4e6-00a6-4866-8496-1454f8b149db</t>
  </si>
  <si>
    <t>10/8/2022 14:13:00</t>
  </si>
  <si>
    <t>uuid:da40379c-9fa8-423f-90bc-4cdd0718e85b</t>
  </si>
  <si>
    <t>uuid:9f78feab-84cd-4775-8bfa-9043c54a0d4f</t>
  </si>
  <si>
    <t>uuid:c21bd1d5-f673-4708-a517-619cb73773be</t>
  </si>
  <si>
    <t>uuid:6b4c803a-d450-47eb-9627-d621cefd5622</t>
  </si>
  <si>
    <t>uuid:649d75e4-d21b-4078-988c-db0c42c58509</t>
  </si>
  <si>
    <t>10/11/2022 8:22:00</t>
  </si>
  <si>
    <t>uuid:13cc050e-ed22-4262-8169-1d427c7e6c24</t>
  </si>
  <si>
    <t>uuid:1fe58623-9e7b-446d-aa55-5819a8c107fd</t>
  </si>
  <si>
    <t>uuid:56f5aee9-af09-49d5-9b3e-c3c5da5e6059</t>
  </si>
  <si>
    <t>uuid:e94d185c-ff4a-4ec8-8df9-ac5d72cc540f</t>
  </si>
  <si>
    <t>10/11/2022 8:23:00</t>
  </si>
  <si>
    <t>uuid:98a447f3-7107-4846-a2d0-9007f1cc0d74</t>
  </si>
  <si>
    <t>uuid:12775a16-a125-475d-83db-622180614e49</t>
  </si>
  <si>
    <t>uuid:43684a33-ac7a-4cdb-9193-4f5689d72963</t>
  </si>
  <si>
    <t>uuid:df85e259-41a3-49ac-ad54-ed36853113b5</t>
  </si>
  <si>
    <t>uuid:e11166be-42b0-410d-8203-f418efeb7089</t>
  </si>
  <si>
    <t>uuid:5a2da93f-53cd-46e8-afc2-afe9b2ef9627</t>
  </si>
  <si>
    <t>uuid:0e6c4fa2-391c-4220-b982-16fe1d54f718</t>
  </si>
  <si>
    <t>uuid:4081f0c3-891d-4d8a-8040-b7080ab3ecee</t>
  </si>
  <si>
    <t>10/11/2022 8:24:00</t>
  </si>
  <si>
    <t>uuid:81fcf7cc-672d-4968-8e43-025fcadd4a84</t>
  </si>
  <si>
    <t>10/12/2022 9:09:00</t>
  </si>
  <si>
    <t>uuid:228e49c6-eccf-4bfd-9a7f-878c64e80a57</t>
  </si>
  <si>
    <t>uuid:36925745-accb-4f1d-9b5f-d7a628c690df</t>
  </si>
  <si>
    <t>uuid:352d108d-21f8-4b8e-8bc3-8a15bc1015f7</t>
  </si>
  <si>
    <t>10/12/2022 9:10:00</t>
  </si>
  <si>
    <t>uuid:5a5f4ccc-9acc-4eae-9378-6d50d8673a96</t>
  </si>
  <si>
    <t>uuid:5152a1f2-8da9-48c5-a7ab-d30c8f70513c</t>
  </si>
  <si>
    <t>uuid:2047cc0f-7fc9-4a95-860b-bbbcb3d87e8b</t>
  </si>
  <si>
    <t>uuid:032dfd62-1ba0-459f-9895-391a70b1d4a3</t>
  </si>
  <si>
    <t>uuid:a8cadf05-c0ce-48d8-a169-6c3d1d01b159</t>
  </si>
  <si>
    <t>uuid:a1123a0d-565f-4a51-9144-68b4597bb2c2</t>
  </si>
  <si>
    <t>uuid:dc0f7eb7-6a17-4c44-a4ba-742985c7ff39</t>
  </si>
  <si>
    <t>10/12/2022 9:11:00</t>
  </si>
  <si>
    <t>uuid:6292b6fa-e730-481b-954b-1ef5ce74a8f2</t>
  </si>
  <si>
    <t>uuid:d88c8239-eb54-43b1-8a15-680c769a91a0</t>
  </si>
  <si>
    <t>uuid:482ad8dd-d2f1-4091-a24f-be93d808f7ba</t>
  </si>
  <si>
    <t>2022 CALENDAR</t>
  </si>
  <si>
    <t>2022 WEEK NUMBER OF THE YEAR</t>
  </si>
  <si>
    <t>2022 WEEK DAY</t>
  </si>
  <si>
    <t>2022 WEEK NUMBER WITHIN THE YEAR</t>
  </si>
  <si>
    <t>Sat</t>
  </si>
  <si>
    <t>Sun</t>
  </si>
  <si>
    <t>Mon</t>
  </si>
  <si>
    <t>Tue</t>
  </si>
  <si>
    <t>Wed</t>
  </si>
  <si>
    <t>Thu</t>
  </si>
  <si>
    <t>Fri</t>
  </si>
  <si>
    <t>10/13/2022 9:54:00</t>
  </si>
  <si>
    <t>uuid:b4bd7f13-e6ee-4c35-b1e0-da08b34f581d</t>
  </si>
  <si>
    <t>10/13/2022 9:55:00</t>
  </si>
  <si>
    <t>uuid:ce3f3890-2c63-4d56-ad84-d36427b906c7</t>
  </si>
  <si>
    <t>10/13/2022 9:56:00</t>
  </si>
  <si>
    <t>uuid:180760c1-e520-4150-956a-90f175ea2fcb</t>
  </si>
  <si>
    <t>uuid:e5df5878-ac9a-416a-b114-6bbb5b11c655</t>
  </si>
  <si>
    <t>uuid:4eeabb3a-8cb1-4545-9a71-d592ae22fd5d</t>
  </si>
  <si>
    <t>uuid:80adbb8b-e81c-42eb-9fe8-0d23ff78fcc3</t>
  </si>
  <si>
    <t>uuid:f073e106-1fbb-4c53-8dfa-08b83f8d2c96</t>
  </si>
  <si>
    <t>uuid:e39af754-2ee5-4e49-a52a-42d931e8415e</t>
  </si>
  <si>
    <t>uuid:62b1df68-2191-487d-8f35-c21d92f1480f</t>
  </si>
  <si>
    <t>uuid:313b1c2f-af44-45e5-bd08-00b767d27da3</t>
  </si>
  <si>
    <t>10/13/2022 9:57:00</t>
  </si>
  <si>
    <t>uuid:c278e92c-c318-40b6-a9e3-9bfeea2143fd</t>
  </si>
  <si>
    <t>uuid:b50c7220-c915-4743-99c3-87f10d85adb8</t>
  </si>
  <si>
    <t>uuid:c8d18ff6-3938-4649-bddd-636f4101809b</t>
  </si>
  <si>
    <t>10/14/2022 9:45:00</t>
  </si>
  <si>
    <t>uuid:1769eec6-56d5-4941-9dbc-0d1303ea5a1b</t>
  </si>
  <si>
    <t>10/14/2022 9:47:00</t>
  </si>
  <si>
    <t>uuid:e06e9020-d5d7-4565-8628-3ffdbb07f95f</t>
  </si>
  <si>
    <t>uuid:a4dc4b5c-7fc6-4c61-a24b-3eea75034b21</t>
  </si>
  <si>
    <t>10/14/2022 9:48:00</t>
  </si>
  <si>
    <t>uuid:d492cf8c-5794-461b-a23a-3dedec980b73</t>
  </si>
  <si>
    <t>uuid:28828bc6-071f-42fa-bc6f-e4e04ef4be75</t>
  </si>
  <si>
    <t>uuid:0206ccf2-5453-4f0a-b07b-64d8e80ba410</t>
  </si>
  <si>
    <t>uuid:8ce37223-9fc2-4d3a-ac95-0e8b0d95a387</t>
  </si>
  <si>
    <t>uuid:c300881e-7e88-40b6-8bc8-adf67d85ddd8</t>
  </si>
  <si>
    <t>10/14/2022 9:49:00</t>
  </si>
  <si>
    <t>uuid:d22852d8-efa1-444a-a1d4-c2ffc0b1d1e5</t>
  </si>
  <si>
    <t>uuid:2825aeb2-d11d-4722-a5c8-6d8e2f23f10b</t>
  </si>
  <si>
    <t>uuid:63024df3-0f31-42cc-9270-aa506923b34c</t>
  </si>
  <si>
    <t>uuid:32f60a1e-f1bf-4b76-919c-05b14a4014cf</t>
  </si>
  <si>
    <t>10/14/2022 9:50:00</t>
  </si>
  <si>
    <t>Casual leave</t>
  </si>
  <si>
    <t>uuid:57214792-2b2c-490a-9355-82195b2708ce</t>
  </si>
  <si>
    <t>10/15/2022 8:55:00</t>
  </si>
  <si>
    <t>uuid:caa9ecb9-7283-4807-921a-488b8bb189d1</t>
  </si>
  <si>
    <t>uuid:978001c6-31a2-4078-8f2b-84b6e49a1789</t>
  </si>
  <si>
    <t>10/15/2022 8:56:00</t>
  </si>
  <si>
    <t>uuid:56f40f40-feab-43d5-9fda-c97a159fb955</t>
  </si>
  <si>
    <t>uuid:55bf857e-cbd9-4d6e-a76c-2fd16eb05695</t>
  </si>
  <si>
    <t>uuid:6587f0d1-4564-45c7-9ae3-a5e741df3211</t>
  </si>
  <si>
    <t>uuid:9cda89eb-d496-4e72-8c17-1cef08c7cd91</t>
  </si>
  <si>
    <t>uuid:6563728e-348f-41f0-8b8f-0ca4de22d3fc</t>
  </si>
  <si>
    <t>10/15/2022 8:57:00</t>
  </si>
  <si>
    <t>uuid:98941b42-646b-4b97-83e0-0c4d227ad725</t>
  </si>
  <si>
    <t>uuid:5802f166-54d4-4001-9d39-4e7de7664f58</t>
  </si>
  <si>
    <t>uuid:64a5a4a0-639c-4d3b-8243-1d59078e5675</t>
  </si>
  <si>
    <t>uuid:fa865e25-5168-49e6-a298-8df31bf29b89</t>
  </si>
  <si>
    <t>10/15/2022 8:58:00</t>
  </si>
  <si>
    <t>uuid:47f469e8-edd7-4c03-9a1f-dc10132ce9ee</t>
  </si>
  <si>
    <t>uuid:256eaa04-103e-4dac-bedd-8f6c4ae092c1</t>
  </si>
  <si>
    <t>10/17/2022 9:10:00</t>
  </si>
  <si>
    <t>uuid:cc7b7cdd-48e8-4945-8e0e-274930fdff51</t>
  </si>
  <si>
    <t>uuid:a93c70aa-557d-4dfa-b78c-fba14bd8d7c0</t>
  </si>
  <si>
    <t>uuid:79f4317e-5759-4719-8ee4-aebd55675fb8</t>
  </si>
  <si>
    <t>10/17/2022 9:11:00</t>
  </si>
  <si>
    <t>uuid:bb7cc38d-6f3d-4452-bedf-e516609badfc</t>
  </si>
  <si>
    <t>uuid:8692be83-e7df-45ef-aa87-c8766c0c0cde</t>
  </si>
  <si>
    <t>uuid:f07fc5f3-cbf7-4551-a081-fc22ec1e0a31</t>
  </si>
  <si>
    <t>uuid:25301280-aeb1-4a45-b0bc-b4d1421fab35</t>
  </si>
  <si>
    <t>uuid:42e4715b-4a15-47ce-bfa4-2394da447bdd</t>
  </si>
  <si>
    <t>uuid:864915ea-3f82-4a09-977d-58866e128932</t>
  </si>
  <si>
    <t>uuid:85065ac2-5f36-4c24-886a-a4015f3df97f</t>
  </si>
  <si>
    <t>10/17/2022 9:12:00</t>
  </si>
  <si>
    <t>uuid:c0c2429c-8db4-4606-98f9-a322e3ca0f83</t>
  </si>
  <si>
    <t>uuid:73af5e34-bcd7-44d8-9c6d-4214e24f906d</t>
  </si>
  <si>
    <t>uuid:cd9a30f1-52e9-4b0f-a8ff-76301d87ad9f</t>
  </si>
  <si>
    <t>10/18/2022 9:39:00</t>
  </si>
  <si>
    <t>uuid:17308149-dce0-49fb-a8ca-a24972ca1d17</t>
  </si>
  <si>
    <t>10/18/2022 9:40:00</t>
  </si>
  <si>
    <t>uuid:b020b5d6-50ce-4df2-8572-6618503a37e3</t>
  </si>
  <si>
    <t>uuid:3b7eae2c-453b-48f7-97cc-e7fed90935a9</t>
  </si>
  <si>
    <t>uuid:87efcfcb-1e58-425b-9088-cced86fc182c</t>
  </si>
  <si>
    <t>uuid:e689d06a-704f-469f-8b70-f640769d8d06</t>
  </si>
  <si>
    <t>uuid:2366f22d-afc8-4029-93c8-29634aeb246d</t>
  </si>
  <si>
    <t>uuid:0e07d59d-a77f-4239-925f-5d3d837e629a</t>
  </si>
  <si>
    <t>uuid:77ed09d0-3aea-4204-8d30-5a43f67e64aa</t>
  </si>
  <si>
    <t>uuid:e85121d0-8a08-48c5-b449-3b150aad7994</t>
  </si>
  <si>
    <t>uuid:fb4436dd-0691-45c6-aaf1-c9d4d9dc607b</t>
  </si>
  <si>
    <t>10/18/2022 9:41:00</t>
  </si>
  <si>
    <t>uuid:b101ddab-7504-4931-9968-a339ca97f8a9</t>
  </si>
  <si>
    <t>uuid:8314195b-c26c-4258-9790-a35a0c5a7364</t>
  </si>
  <si>
    <t>uuid:3cd200ad-3417-4a2e-b85a-11c8c904a5cf</t>
  </si>
  <si>
    <t>10/19/2022 9:16:00</t>
  </si>
  <si>
    <t>uuid:2d979dc9-231a-4199-9ea7-e9b4d34b19e7</t>
  </si>
  <si>
    <t>10/19/2022 9:17:00</t>
  </si>
  <si>
    <t>uuid:03355c90-cc56-4d2d-969c-b91f0e580ba1</t>
  </si>
  <si>
    <t>10/19/2022 9:18:00</t>
  </si>
  <si>
    <t>uuid:5e5edc2f-a8ce-4c68-a1ea-6f755449ee5a</t>
  </si>
  <si>
    <t>uuid:eb4f4e57-2ec7-4e48-bb87-8dc1087e3538</t>
  </si>
  <si>
    <t>uuid:6e9a2371-4cd4-4159-bf68-f62b7773f8c5</t>
  </si>
  <si>
    <t>uuid:f9782902-ebbc-4511-a8ac-a3754d19e990</t>
  </si>
  <si>
    <t>10/19/2022 9:19:00</t>
  </si>
  <si>
    <t>uuid:856de1fb-6616-4ef0-a5fa-5718b099b3ae</t>
  </si>
  <si>
    <t>uuid:f5940015-c2ef-4fc4-9314-4777885457ec</t>
  </si>
  <si>
    <t>uuid:5692ca02-db58-4cfa-b178-0dc6ed38b969</t>
  </si>
  <si>
    <t>uuid:0bc2e433-f43c-419f-bdac-ecc0b659e9a9</t>
  </si>
  <si>
    <t>uuid:1126e79b-c9a9-4291-8f9b-56ee4b47f30e</t>
  </si>
  <si>
    <t>10/19/2022 9:20:00</t>
  </si>
  <si>
    <t>uuid:da3c19e9-45fb-45d4-ac8e-f1ae1737612b</t>
  </si>
  <si>
    <t>uuid:c7b9eb92-6b80-41bc-849f-2dd60c91808b</t>
  </si>
  <si>
    <t>10/20/2022 9:04:00</t>
  </si>
  <si>
    <t>uuid:e61c1dfd-cc11-4f81-8142-fb3ad5068b97</t>
  </si>
  <si>
    <t>uuid:8f3058da-b02f-4f5a-9bec-0207d2528dbf</t>
  </si>
  <si>
    <t>uuid:32034180-7b23-4104-9778-aae0e6fdbf80</t>
  </si>
  <si>
    <t>uuid:27ebc325-2faa-46b7-b407-57e7fb8452ff</t>
  </si>
  <si>
    <t>10/20/2022 9:05:00</t>
  </si>
  <si>
    <t>uuid:ccf8ba1f-330b-4f77-a550-e5864e831197</t>
  </si>
  <si>
    <t>uuid:1a07ffc0-ee41-44d7-afa1-76429d0ff62d</t>
  </si>
  <si>
    <t>uuid:2da2111d-c86c-4a2d-a4f0-da86fb76ff7f</t>
  </si>
  <si>
    <t>uuid:872f4664-05c2-4908-9f5a-138d5d4fddfe</t>
  </si>
  <si>
    <t>uuid:6c6f76ee-4972-4105-93c8-4a82a4e8c193</t>
  </si>
  <si>
    <t>uuid:d8a880e3-3793-4532-9c76-fee762a4a794</t>
  </si>
  <si>
    <t>uuid:3a105c8a-6293-4bc5-bba5-553493a1ec22</t>
  </si>
  <si>
    <t>uuid:c51284c9-6a32-4c92-b0d6-f0ac67437c74</t>
  </si>
  <si>
    <t>uuid:30ae12db-7585-498e-a06b-02bf01819636</t>
  </si>
  <si>
    <t>10/21/2022 11:16:00</t>
  </si>
  <si>
    <t>uuid:659fb777-efb4-429b-b162-7377a65cd8c1</t>
  </si>
  <si>
    <t>uuid:666aa147-2444-4c76-8fee-f05bf40fcc56</t>
  </si>
  <si>
    <t>10/21/2022 11:17:00</t>
  </si>
  <si>
    <t>uuid:abafbaf2-9da9-4884-880e-aeb99d7d785a</t>
  </si>
  <si>
    <t>uuid:ac23c491-3890-4d74-807b-73c30a4c5652</t>
  </si>
  <si>
    <t>uuid:a0837f1c-0b99-411f-a9a1-25c3997e0096</t>
  </si>
  <si>
    <t>uuid:449bdab1-a3c5-4c3a-be0b-d3e36fa6396c</t>
  </si>
  <si>
    <t>uuid:465ad334-8e3b-4a69-bb40-1d1ddfc4b2bb</t>
  </si>
  <si>
    <t>uuid:07cdb684-7442-472b-b11b-aeb0c3446ab7</t>
  </si>
  <si>
    <t>uuid:4a45a27d-7d5d-495d-a323-0cc7c25bac68</t>
  </si>
  <si>
    <t>uuid:b702fe42-f816-4c15-9265-b7c88f7aa4cc</t>
  </si>
  <si>
    <t>uuid:d53dd294-a8c0-4e7c-be59-de4e7ee2045f</t>
  </si>
  <si>
    <t>uuid:22241d9a-71f7-4011-9881-911367fd0f13</t>
  </si>
  <si>
    <t>10/21/2022 11:18:00</t>
  </si>
  <si>
    <t>uuid:4948d0ce-712b-44ed-8f2b-6ea1c69b6e15</t>
  </si>
  <si>
    <t>10/22/2022 10:29:00</t>
  </si>
  <si>
    <t>uuid:a3513610-7106-48fe-bd05-c9dbe25db56b</t>
  </si>
  <si>
    <t>10/22/2022 10:30:00</t>
  </si>
  <si>
    <t>uuid:67ac8a2e-24ec-4f54-bcc4-1c9ce5fb176b</t>
  </si>
  <si>
    <t>uuid:5ce8eaff-260a-4f55-9cbb-8d64d316c2fb</t>
  </si>
  <si>
    <t>10/22/2022 10:31:00</t>
  </si>
  <si>
    <t>uuid:f84b7e9a-5544-46fd-bcf9-22fc9ebd8164</t>
  </si>
  <si>
    <t>10/22/2022 10:32:00</t>
  </si>
  <si>
    <t>uuid:4f1fd6e0-dc50-4027-9c2b-b2710ae3d0f9</t>
  </si>
  <si>
    <t>uuid:a616688c-0802-46c6-9a87-0e4f4ceeb51c</t>
  </si>
  <si>
    <t>uuid:044a4122-433b-4d07-9f83-3776bd6fa8bf</t>
  </si>
  <si>
    <t>uuid:9e505c2b-90ac-43f9-9f52-1fa8f028045f</t>
  </si>
  <si>
    <t>uuid:23c79dd5-bcb2-40a7-813a-5f0abe1adf43</t>
  </si>
  <si>
    <t>10/22/2022 10:33:00</t>
  </si>
  <si>
    <t>uuid:4aa2e7a3-6542-46c2-b3a0-21b677fbf1ff</t>
  </si>
  <si>
    <t>uuid:54bdf4a9-fb2d-4d69-a6d5-9b840ce037ab</t>
  </si>
  <si>
    <t>uuid:f68bffa5-0363-41a9-9816-2d5f14cc0c70</t>
  </si>
  <si>
    <t>10/22/2022 10:34:00</t>
  </si>
  <si>
    <t>uuid:7f6176bf-9187-47ca-ae6d-2d446dc0c469</t>
  </si>
  <si>
    <t>10/24/2022 9:01:00</t>
  </si>
  <si>
    <t>uuid:767b72e1-952b-4e63-91d2-0409601598a9</t>
  </si>
  <si>
    <t>10/24/2022 9:02:00</t>
  </si>
  <si>
    <t>uuid:c118e00b-64d6-4af0-8534-1bf0eb19d42e</t>
  </si>
  <si>
    <t>uuid:b7871e9c-71b2-405d-9296-bf9345fd2b8e</t>
  </si>
  <si>
    <t>uuid:d81e369f-b39a-4bb0-adc4-b2f546e1a2d1</t>
  </si>
  <si>
    <t>uuid:73ba095c-a02e-414f-9051-7e24f98107b5</t>
  </si>
  <si>
    <t>uuid:3ffd843a-eeea-4b0f-9c73-1e84c2a25055</t>
  </si>
  <si>
    <t>uuid:0804af80-44cb-448b-8dcd-440d39eda4e1</t>
  </si>
  <si>
    <t>uuid:7419d16e-7628-4b2f-a98e-d00bc0791845</t>
  </si>
  <si>
    <t>uuid:3bee7cfd-d3b1-4239-8490-aa71cfd8eb26</t>
  </si>
  <si>
    <t>10/24/2022 9:03:00</t>
  </si>
  <si>
    <t>uuid:57a0aa16-cc26-4e42-99ee-7e859b053975</t>
  </si>
  <si>
    <t>uuid:9c7699d3-cad8-4a67-9e26-403448e3d933</t>
  </si>
  <si>
    <t>uuid:747aed92-fc08-4a76-ac9b-a24f79b54aa5</t>
  </si>
  <si>
    <t>uuid:dff2f1cf-1c4d-4ab0-96cc-316f0cad7f52</t>
  </si>
  <si>
    <t>10/25/2022 9:47:00</t>
  </si>
  <si>
    <t>uuid:613dc283-6bdf-443a-aa47-b9f6803deeb3</t>
  </si>
  <si>
    <t>uuid:d16c3fd5-7be3-48d2-b516-39c1b15cafe7</t>
  </si>
  <si>
    <t>10/25/2022 9:48:00</t>
  </si>
  <si>
    <t>uuid:cb4e035d-1a33-4352-82f3-b8f4451a7960</t>
  </si>
  <si>
    <t>uuid:663f5b88-4a30-4b6b-baf2-9c121956a950</t>
  </si>
  <si>
    <t>uuid:1c9e49e9-51dd-4377-aca2-0f3d3cfe76f0</t>
  </si>
  <si>
    <t>uuid:a41c00cd-d154-4b2e-986c-9393650858cf</t>
  </si>
  <si>
    <t>uuid:b9226466-ae36-4203-b076-4e7cfe5e21f3</t>
  </si>
  <si>
    <t>uuid:fbecc25f-56dd-440e-bb6e-ea89ebecc2b0</t>
  </si>
  <si>
    <t>uuid:9d6424ea-ac68-4f55-910c-76ed63bc3c47</t>
  </si>
  <si>
    <t>uuid:41209350-85b5-44be-8c75-0a3f6efdbfea</t>
  </si>
  <si>
    <t>10/25/2022 9:49:00</t>
  </si>
  <si>
    <t>uuid:da7fafbd-57d9-4a5c-ac20-997801d36d66</t>
  </si>
  <si>
    <t>uuid:0ff6540a-67b8-405c-971d-7c1e5867d1e0</t>
  </si>
  <si>
    <t>uuid:8644836e-dd7f-4dd5-8fe0-8a635a31153f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</si>
</sst>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right"/>
    </xf>
    <xf numFmtId="164" fontId="0" fillId="0" borderId="0" xfId="0" applyNumberForma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14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4" fontId="0" fillId="3" borderId="1" xfId="0" applyNumberFormat="1" applyFill="1" applyBorder="1"/>
    <xf numFmtId="22" fontId="0" fillId="3" borderId="1" xfId="0" applyNumberFormat="1" applyFill="1" applyBorder="1" applyAlignment="1">
      <alignment horizontal="right"/>
    </xf>
    <xf numFmtId="0" fontId="5" fillId="0" borderId="4" xfId="0" applyFont="1" applyBorder="1" applyAlignment="1"/>
    <xf numFmtId="0" fontId="5" fillId="0" borderId="5" xfId="0" applyFont="1" applyBorder="1" applyAlignment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/>
    <xf numFmtId="0" fontId="0" fillId="0" borderId="1" xfId="0" applyBorder="1"/>
    <xf numFmtId="0" fontId="5" fillId="4" borderId="1" xfId="0" applyFont="1" applyFill="1" applyBorder="1" applyAlignment="1">
      <alignment horizontal="right" wrapText="1"/>
    </xf>
    <xf numFmtId="0" fontId="0" fillId="4" borderId="1" xfId="0" applyFill="1" applyBorder="1"/>
    <xf numFmtId="0" fontId="0" fillId="0" borderId="1" xfId="0" pivotButton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164" fontId="0" fillId="0" borderId="1" xfId="0" applyNumberFormat="1" applyBorder="1"/>
    <xf numFmtId="14" fontId="0" fillId="0" borderId="1" xfId="0" applyNumberFormat="1" applyBorder="1"/>
    <xf numFmtId="9" fontId="0" fillId="0" borderId="1" xfId="1" applyFont="1" applyBorder="1"/>
    <xf numFmtId="9" fontId="0" fillId="0" borderId="0" xfId="1" applyFont="1"/>
    <xf numFmtId="0" fontId="0" fillId="0" borderId="0" xfId="0" applyAlignment="1">
      <alignment vertical="center"/>
    </xf>
    <xf numFmtId="9" fontId="0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/>
    </xf>
    <xf numFmtId="0" fontId="0" fillId="0" borderId="8" xfId="0" applyBorder="1"/>
    <xf numFmtId="0" fontId="0" fillId="0" borderId="10" xfId="0" applyBorder="1"/>
    <xf numFmtId="0" fontId="2" fillId="4" borderId="11" xfId="0" applyFont="1" applyFill="1" applyBorder="1"/>
    <xf numFmtId="164" fontId="0" fillId="0" borderId="1" xfId="0" applyNumberFormat="1" applyBorder="1"/>
    <xf numFmtId="9" fontId="2" fillId="0" borderId="1" xfId="1" applyFont="1" applyBorder="1"/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/>
    <xf numFmtId="0" fontId="7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horizontal="center" vertical="center"/>
    </xf>
    <xf numFmtId="14" fontId="7" fillId="6" borderId="8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vertical="center" wrapText="1"/>
    </xf>
    <xf numFmtId="0" fontId="0" fillId="0" borderId="0" xfId="0" applyAlignment="1"/>
    <xf numFmtId="22" fontId="7" fillId="6" borderId="10" xfId="0" applyNumberFormat="1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0" xfId="0" applyFont="1" applyFill="1" applyBorder="1" applyAlignment="1">
      <alignment horizontal="center" vertical="center"/>
    </xf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2" fillId="8" borderId="10" xfId="0" applyFont="1" applyFill="1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HQ Fleet Attendance Tracker for the current month</a:t>
            </a:r>
          </a:p>
        </c:rich>
      </c:tx>
      <c:layout>
        <c:manualLayout>
          <c:xMode val="edge"/>
          <c:yMode val="edge"/>
          <c:x val="0.159596730962246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0208524446119743"/>
          <c:y val="8.9312641142671997E-2"/>
          <c:w val="0.80760974995439172"/>
          <c:h val="0.53372612504972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- Sorted'!$B$20</c:f>
              <c:strCache>
                <c:ptCount val="1"/>
                <c:pt idx="0">
                  <c:v>6 Working 
Days % Tracker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Sorted'!$A$21:$A$33</c:f>
              <c:strCache>
                <c:ptCount val="13"/>
                <c:pt idx="0">
                  <c:v>ademola_akintayo</c:v>
                </c:pt>
                <c:pt idx="1">
                  <c:v>ayo_bamidele</c:v>
                </c:pt>
                <c:pt idx="2">
                  <c:v>david_jimba</c:v>
                </c:pt>
                <c:pt idx="3">
                  <c:v>joseph_akpan</c:v>
                </c:pt>
                <c:pt idx="4">
                  <c:v>kenedy_onaise</c:v>
                </c:pt>
                <c:pt idx="5">
                  <c:v>paul_oyelaran</c:v>
                </c:pt>
                <c:pt idx="6">
                  <c:v>titilayo_esther</c:v>
                </c:pt>
                <c:pt idx="7">
                  <c:v>michael_omotosho</c:v>
                </c:pt>
                <c:pt idx="8">
                  <c:v>ogunlade_samuel_tope</c:v>
                </c:pt>
                <c:pt idx="9">
                  <c:v>oluwaseun_corper</c:v>
                </c:pt>
                <c:pt idx="10">
                  <c:v>babatunde_afeez</c:v>
                </c:pt>
                <c:pt idx="11">
                  <c:v>chibuzo_nwankwo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Sorted'!$B$21:$B$33</c:f>
              <c:numCache>
                <c:formatCode>0%</c:formatCode>
                <c:ptCount val="1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4-423B-879B-C1F549E36A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4728160"/>
        <c:axId val="514724880"/>
      </c:barChart>
      <c:lineChart>
        <c:grouping val="standard"/>
        <c:varyColors val="0"/>
        <c:ser>
          <c:idx val="1"/>
          <c:order val="1"/>
          <c:tx>
            <c:strRef>
              <c:f>'Summary - Sorted'!$C$20</c:f>
              <c:strCache>
                <c:ptCount val="1"/>
                <c:pt idx="0">
                  <c:v>Days Present 
for that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Sorted'!$A$21:$A$33</c:f>
              <c:strCache>
                <c:ptCount val="13"/>
                <c:pt idx="0">
                  <c:v>ademola_akintayo</c:v>
                </c:pt>
                <c:pt idx="1">
                  <c:v>ayo_bamidele</c:v>
                </c:pt>
                <c:pt idx="2">
                  <c:v>david_jimba</c:v>
                </c:pt>
                <c:pt idx="3">
                  <c:v>joseph_akpan</c:v>
                </c:pt>
                <c:pt idx="4">
                  <c:v>kenedy_onaise</c:v>
                </c:pt>
                <c:pt idx="5">
                  <c:v>paul_oyelaran</c:v>
                </c:pt>
                <c:pt idx="6">
                  <c:v>titilayo_esther</c:v>
                </c:pt>
                <c:pt idx="7">
                  <c:v>michael_omotosho</c:v>
                </c:pt>
                <c:pt idx="8">
                  <c:v>ogunlade_samuel_tope</c:v>
                </c:pt>
                <c:pt idx="9">
                  <c:v>oluwaseun_corper</c:v>
                </c:pt>
                <c:pt idx="10">
                  <c:v>babatunde_afeez</c:v>
                </c:pt>
                <c:pt idx="11">
                  <c:v>chibuzo_nwankwo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Sorted'!$C$21:$C$33</c:f>
              <c:numCache>
                <c:formatCode>General</c:formatCode>
                <c:ptCount val="13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15</c:v>
                </c:pt>
                <c:pt idx="8">
                  <c:v>14</c:v>
                </c:pt>
                <c:pt idx="9">
                  <c:v>11</c:v>
                </c:pt>
                <c:pt idx="10">
                  <c:v>16</c:v>
                </c:pt>
                <c:pt idx="11">
                  <c:v>15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4-423B-879B-C1F549E36A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4728488"/>
        <c:axId val="514727832"/>
      </c:lineChart>
      <c:catAx>
        <c:axId val="51472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Staff</a:t>
                </a:r>
              </a:p>
            </c:rich>
          </c:tx>
          <c:layout>
            <c:manualLayout>
              <c:xMode val="edge"/>
              <c:yMode val="edge"/>
              <c:x val="0.48150870446157984"/>
              <c:y val="0.85477201412049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4724880"/>
        <c:crosses val="autoZero"/>
        <c:auto val="1"/>
        <c:lblAlgn val="ctr"/>
        <c:lblOffset val="100"/>
        <c:noMultiLvlLbl val="0"/>
      </c:catAx>
      <c:valAx>
        <c:axId val="51472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6 working days % tracker</a:t>
                </a:r>
              </a:p>
            </c:rich>
          </c:tx>
          <c:layout>
            <c:manualLayout>
              <c:xMode val="edge"/>
              <c:yMode val="edge"/>
              <c:x val="4.7081852411403093E-3"/>
              <c:y val="0.21601613209857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4728160"/>
        <c:crosses val="autoZero"/>
        <c:crossBetween val="between"/>
      </c:valAx>
      <c:valAx>
        <c:axId val="514727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Days present for the current month</a:t>
                </a:r>
              </a:p>
            </c:rich>
          </c:tx>
          <c:layout>
            <c:manualLayout>
              <c:xMode val="edge"/>
              <c:yMode val="edge"/>
              <c:x val="0.96412362846251098"/>
              <c:y val="0.18404905353405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4728488"/>
        <c:crosses val="max"/>
        <c:crossBetween val="between"/>
      </c:valAx>
      <c:catAx>
        <c:axId val="514728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4727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676471057263767"/>
          <c:y val="0.89779722266148898"/>
          <c:w val="0.76248437555171078"/>
          <c:h val="9.5116490901362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Previous Week Ananlysis of the current month</a:t>
            </a:r>
          </a:p>
        </c:rich>
      </c:tx>
      <c:layout>
        <c:manualLayout>
          <c:xMode val="edge"/>
          <c:yMode val="edge"/>
          <c:x val="0.16847822222222222"/>
          <c:y val="4.0206776804742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2330533333333334"/>
          <c:y val="0.12699579554252477"/>
          <c:w val="0.79639303703703701"/>
          <c:h val="0.543253864797273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- Sorted'!$F$20</c:f>
              <c:strCache>
                <c:ptCount val="1"/>
                <c:pt idx="0">
                  <c:v>6 Working 
Days % Tracker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Sorted'!$E$21:$E$33</c:f>
              <c:strCache>
                <c:ptCount val="13"/>
                <c:pt idx="0">
                  <c:v>ademola_akintayo</c:v>
                </c:pt>
                <c:pt idx="1">
                  <c:v>ayo_bamidele</c:v>
                </c:pt>
                <c:pt idx="2">
                  <c:v>chibuzo_nwankwo</c:v>
                </c:pt>
                <c:pt idx="3">
                  <c:v>david_jimba</c:v>
                </c:pt>
                <c:pt idx="4">
                  <c:v>joseph_akpan</c:v>
                </c:pt>
                <c:pt idx="5">
                  <c:v>kenedy_onaise</c:v>
                </c:pt>
                <c:pt idx="6">
                  <c:v>ogunlade_samuel_tope</c:v>
                </c:pt>
                <c:pt idx="7">
                  <c:v>paul_oyelaran</c:v>
                </c:pt>
                <c:pt idx="8">
                  <c:v>titilayo_esther</c:v>
                </c:pt>
                <c:pt idx="9">
                  <c:v>oluwaseun_corper</c:v>
                </c:pt>
                <c:pt idx="10">
                  <c:v>michael_omotosho</c:v>
                </c:pt>
                <c:pt idx="11">
                  <c:v>babatunde_afeez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Sorted'!$F$21:$F$33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8-41C9-9A26-DDF1E6564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8425800"/>
        <c:axId val="1318424160"/>
      </c:barChart>
      <c:lineChart>
        <c:grouping val="standard"/>
        <c:varyColors val="0"/>
        <c:ser>
          <c:idx val="1"/>
          <c:order val="1"/>
          <c:tx>
            <c:strRef>
              <c:f>'Summary - Sorted'!$G$20</c:f>
              <c:strCache>
                <c:ptCount val="1"/>
                <c:pt idx="0">
                  <c:v>Days Present 
for that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Sorted'!$E$21:$E$33</c:f>
              <c:strCache>
                <c:ptCount val="13"/>
                <c:pt idx="0">
                  <c:v>ademola_akintayo</c:v>
                </c:pt>
                <c:pt idx="1">
                  <c:v>ayo_bamidele</c:v>
                </c:pt>
                <c:pt idx="2">
                  <c:v>chibuzo_nwankwo</c:v>
                </c:pt>
                <c:pt idx="3">
                  <c:v>david_jimba</c:v>
                </c:pt>
                <c:pt idx="4">
                  <c:v>joseph_akpan</c:v>
                </c:pt>
                <c:pt idx="5">
                  <c:v>kenedy_onaise</c:v>
                </c:pt>
                <c:pt idx="6">
                  <c:v>ogunlade_samuel_tope</c:v>
                </c:pt>
                <c:pt idx="7">
                  <c:v>paul_oyelaran</c:v>
                </c:pt>
                <c:pt idx="8">
                  <c:v>titilayo_esther</c:v>
                </c:pt>
                <c:pt idx="9">
                  <c:v>oluwaseun_corper</c:v>
                </c:pt>
                <c:pt idx="10">
                  <c:v>michael_omotosho</c:v>
                </c:pt>
                <c:pt idx="11">
                  <c:v>babatunde_afeez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Sorted'!$G$21:$G$33</c:f>
              <c:numCache>
                <c:formatCode>General</c:formatCode>
                <c:ptCount val="1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8-41C9-9A26-DDF1E6564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8418912"/>
        <c:axId val="1318420880"/>
      </c:lineChart>
      <c:catAx>
        <c:axId val="1318425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Staff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424160"/>
        <c:crosses val="autoZero"/>
        <c:auto val="1"/>
        <c:lblAlgn val="ctr"/>
        <c:lblOffset val="100"/>
        <c:noMultiLvlLbl val="0"/>
      </c:catAx>
      <c:valAx>
        <c:axId val="131842416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working days % tracker</a:t>
                </a:r>
              </a:p>
            </c:rich>
          </c:tx>
          <c:layout>
            <c:manualLayout>
              <c:xMode val="edge"/>
              <c:yMode val="edge"/>
              <c:x val="1.271925925925926E-2"/>
              <c:y val="0.26326906739114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425800"/>
        <c:crosses val="autoZero"/>
        <c:crossBetween val="between"/>
      </c:valAx>
      <c:valAx>
        <c:axId val="13184208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Days present</a:t>
                </a:r>
              </a:p>
            </c:rich>
          </c:tx>
          <c:layout>
            <c:manualLayout>
              <c:xMode val="edge"/>
              <c:yMode val="edge"/>
              <c:x val="0.95910770370370368"/>
              <c:y val="0.31865880956598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418912"/>
        <c:crosses val="max"/>
        <c:crossBetween val="between"/>
      </c:valAx>
      <c:catAx>
        <c:axId val="131841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842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443570370370374"/>
          <c:y val="0.91756186105456039"/>
          <c:w val="0.5974693333333333"/>
          <c:h val="7.0376105904016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Previous Month Analysis of August</a:t>
            </a:r>
          </a:p>
        </c:rich>
      </c:tx>
      <c:layout>
        <c:manualLayout>
          <c:xMode val="edge"/>
          <c:yMode val="edge"/>
          <c:x val="0.31953792592592595"/>
          <c:y val="4.45123843995806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0829762962962963"/>
          <c:y val="0.13063817683706153"/>
          <c:w val="0.81545599999999996"/>
          <c:h val="0.52196944189986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- Sorted'!$J$20</c:f>
              <c:strCache>
                <c:ptCount val="1"/>
                <c:pt idx="0">
                  <c:v>6 Working 
Days % Tracker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Sorted'!$I$21:$I$33</c:f>
              <c:strCache>
                <c:ptCount val="13"/>
                <c:pt idx="0">
                  <c:v>david_jimba</c:v>
                </c:pt>
                <c:pt idx="1">
                  <c:v>joseph_akpan</c:v>
                </c:pt>
                <c:pt idx="2">
                  <c:v>ogunlade_samuel_tope</c:v>
                </c:pt>
                <c:pt idx="3">
                  <c:v>paul_oyelaran</c:v>
                </c:pt>
                <c:pt idx="4">
                  <c:v>titilayo_esther</c:v>
                </c:pt>
                <c:pt idx="5">
                  <c:v>ademola_akintayo</c:v>
                </c:pt>
                <c:pt idx="6">
                  <c:v>oluwaseun_corper</c:v>
                </c:pt>
                <c:pt idx="7">
                  <c:v>chibuzo_nwankwo</c:v>
                </c:pt>
                <c:pt idx="8">
                  <c:v>kenedy_onaise</c:v>
                </c:pt>
                <c:pt idx="9">
                  <c:v>michael_omotosho</c:v>
                </c:pt>
                <c:pt idx="10">
                  <c:v>ayo_bamidele</c:v>
                </c:pt>
                <c:pt idx="11">
                  <c:v>babatunde_afeez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Sorted'!$J$21:$J$33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0.6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1</c:v>
                </c:pt>
                <c:pt idx="11">
                  <c:v>1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7-475C-9620-C9AF8C8D9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3463256"/>
        <c:axId val="333467520"/>
      </c:barChart>
      <c:lineChart>
        <c:grouping val="standard"/>
        <c:varyColors val="0"/>
        <c:ser>
          <c:idx val="1"/>
          <c:order val="1"/>
          <c:tx>
            <c:strRef>
              <c:f>'Summary - Sorted'!$K$20</c:f>
              <c:strCache>
                <c:ptCount val="1"/>
                <c:pt idx="0">
                  <c:v>Days Present 
for that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Sorted'!$I$21:$I$33</c:f>
              <c:strCache>
                <c:ptCount val="13"/>
                <c:pt idx="0">
                  <c:v>david_jimba</c:v>
                </c:pt>
                <c:pt idx="1">
                  <c:v>joseph_akpan</c:v>
                </c:pt>
                <c:pt idx="2">
                  <c:v>ogunlade_samuel_tope</c:v>
                </c:pt>
                <c:pt idx="3">
                  <c:v>paul_oyelaran</c:v>
                </c:pt>
                <c:pt idx="4">
                  <c:v>titilayo_esther</c:v>
                </c:pt>
                <c:pt idx="5">
                  <c:v>ademola_akintayo</c:v>
                </c:pt>
                <c:pt idx="6">
                  <c:v>oluwaseun_corper</c:v>
                </c:pt>
                <c:pt idx="7">
                  <c:v>chibuzo_nwankwo</c:v>
                </c:pt>
                <c:pt idx="8">
                  <c:v>kenedy_onaise</c:v>
                </c:pt>
                <c:pt idx="9">
                  <c:v>michael_omotosho</c:v>
                </c:pt>
                <c:pt idx="10">
                  <c:v>ayo_bamidele</c:v>
                </c:pt>
                <c:pt idx="11">
                  <c:v>babatunde_afeez</c:v>
                </c:pt>
                <c:pt idx="12">
                  <c:v>abdulazeez_juwon</c:v>
                </c:pt>
              </c:strCache>
            </c:strRef>
          </c:cat>
          <c:val>
            <c:numRef>
              <c:f>'Summary - Sorted'!$K$21:$K$33</c:f>
              <c:numCache>
                <c:formatCode>General</c:formatCode>
                <c:ptCount val="13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14</c:v>
                </c:pt>
                <c:pt idx="7">
                  <c:v>24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18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7-475C-9620-C9AF8C8D9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1266832"/>
        <c:axId val="333466864"/>
      </c:lineChart>
      <c:catAx>
        <c:axId val="333463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Staff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3467520"/>
        <c:crosses val="autoZero"/>
        <c:auto val="1"/>
        <c:lblAlgn val="ctr"/>
        <c:lblOffset val="100"/>
        <c:noMultiLvlLbl val="0"/>
      </c:catAx>
      <c:valAx>
        <c:axId val="33346752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Working days % tracker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3463256"/>
        <c:crosses val="autoZero"/>
        <c:crossBetween val="between"/>
      </c:valAx>
      <c:valAx>
        <c:axId val="333466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Days present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21266832"/>
        <c:crosses val="max"/>
        <c:crossBetween val="between"/>
      </c:valAx>
      <c:catAx>
        <c:axId val="1221266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466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12385185185184"/>
          <c:y val="0.89676308428592222"/>
          <c:w val="0.6491595555555556"/>
          <c:h val="0.10323691571407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Summary - Sorted'!A1"/><Relationship Id="rId5" Type="http://schemas.openxmlformats.org/officeDocument/2006/relationships/hyperlink" Target="#'HQ Fleet Attendance'!A1"/><Relationship Id="rId4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90857</xdr:colOff>
      <xdr:row>37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4CF33C-63C5-45F2-AC4F-64A2DE33E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10885</xdr:colOff>
      <xdr:row>2</xdr:row>
      <xdr:rowOff>182639</xdr:rowOff>
    </xdr:from>
    <xdr:to>
      <xdr:col>16</xdr:col>
      <xdr:colOff>265027</xdr:colOff>
      <xdr:row>37</xdr:row>
      <xdr:rowOff>22982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67EE8A-33D2-47CB-9C48-01BA6202D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304802</xdr:colOff>
      <xdr:row>3</xdr:row>
      <xdr:rowOff>8467</xdr:rowOff>
    </xdr:from>
    <xdr:to>
      <xdr:col>27</xdr:col>
      <xdr:colOff>439202</xdr:colOff>
      <xdr:row>37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D00EB7-E0B6-4053-AC66-765A9EDDC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8465</xdr:colOff>
      <xdr:row>1</xdr:row>
      <xdr:rowOff>21769</xdr:rowOff>
    </xdr:from>
    <xdr:to>
      <xdr:col>6</xdr:col>
      <xdr:colOff>587827</xdr:colOff>
      <xdr:row>2</xdr:row>
      <xdr:rowOff>164100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465A3DA-8878-2F14-0605-13866677B136}"/>
            </a:ext>
          </a:extLst>
        </xdr:cNvPr>
        <xdr:cNvGrpSpPr/>
      </xdr:nvGrpSpPr>
      <xdr:grpSpPr>
        <a:xfrm>
          <a:off x="8465" y="457198"/>
          <a:ext cx="5869819" cy="327388"/>
          <a:chOff x="8465" y="457198"/>
          <a:chExt cx="5869819" cy="327388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34C9387D-82F7-2593-C4FC-0EDBC3BBA883}"/>
              </a:ext>
            </a:extLst>
          </xdr:cNvPr>
          <xdr:cNvGrpSpPr/>
        </xdr:nvGrpSpPr>
        <xdr:grpSpPr>
          <a:xfrm>
            <a:off x="8465" y="468086"/>
            <a:ext cx="1896532" cy="304803"/>
            <a:chOff x="2853269" y="521861"/>
            <a:chExt cx="1093151" cy="200426"/>
          </a:xfrm>
          <a:solidFill>
            <a:schemeClr val="bg1">
              <a:lumMod val="75000"/>
            </a:schemeClr>
          </a:solidFill>
        </xdr:grpSpPr>
        <xdr:sp macro="" textlink="">
          <xdr:nvSpPr>
            <xdr:cNvPr id="3" name="TextBox 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7ABC26EC-8E24-C13A-842D-15DDE83A8ED7}"/>
                </a:ext>
              </a:extLst>
            </xdr:cNvPr>
            <xdr:cNvSpPr txBox="1"/>
          </xdr:nvSpPr>
          <xdr:spPr>
            <a:xfrm>
              <a:off x="2853269" y="521861"/>
              <a:ext cx="1093151" cy="20042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solidFill>
                    <a:sysClr val="windowText" lastClr="000000"/>
                  </a:solidFill>
                </a:rPr>
                <a:t>           SUMMARY</a:t>
              </a:r>
              <a:r>
                <a:rPr lang="en-US" sz="1400" b="1" baseline="0">
                  <a:solidFill>
                    <a:sysClr val="windowText" lastClr="000000"/>
                  </a:solidFill>
                </a:rPr>
                <a:t> PAGE</a:t>
              </a:r>
              <a:endParaRPr lang="en-NG" sz="1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" name="Arrow: Right 10">
              <a:extLst>
                <a:ext uri="{FF2B5EF4-FFF2-40B4-BE49-F238E27FC236}">
                  <a16:creationId xmlns:a16="http://schemas.microsoft.com/office/drawing/2014/main" id="{A337DECC-750E-33E7-1DD2-2F421CF37576}"/>
                </a:ext>
              </a:extLst>
            </xdr:cNvPr>
            <xdr:cNvSpPr/>
          </xdr:nvSpPr>
          <xdr:spPr>
            <a:xfrm>
              <a:off x="2879761" y="539610"/>
              <a:ext cx="219608" cy="175517"/>
            </a:xfrm>
            <a:prstGeom prst="rightArrow">
              <a:avLst/>
            </a:prstGeom>
            <a:solidFill>
              <a:schemeClr val="tx1">
                <a:lumMod val="65000"/>
                <a:lumOff val="3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NG" sz="1100" b="1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393586BD-F80A-4933-B8A1-22F26B7183AC}"/>
              </a:ext>
            </a:extLst>
          </xdr:cNvPr>
          <xdr:cNvGrpSpPr/>
        </xdr:nvGrpSpPr>
        <xdr:grpSpPr>
          <a:xfrm>
            <a:off x="4569578" y="457198"/>
            <a:ext cx="1308706" cy="327388"/>
            <a:chOff x="2853266" y="511599"/>
            <a:chExt cx="1163532" cy="233776"/>
          </a:xfrm>
          <a:solidFill>
            <a:schemeClr val="bg1">
              <a:lumMod val="75000"/>
            </a:schemeClr>
          </a:solidFill>
        </xdr:grpSpPr>
        <xdr:sp macro="" textlink="">
          <xdr:nvSpPr>
            <xdr:cNvPr id="14" name="TextBox 13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650A96E-6E18-EFC0-BE35-D11E3065A68D}"/>
                </a:ext>
              </a:extLst>
            </xdr:cNvPr>
            <xdr:cNvSpPr txBox="1"/>
          </xdr:nvSpPr>
          <xdr:spPr>
            <a:xfrm>
              <a:off x="2853266" y="511603"/>
              <a:ext cx="1163532" cy="233772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US" sz="14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BACKEND</a:t>
              </a:r>
              <a:endParaRPr lang="en-NG" sz="14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5" name="Arrow: Right 14">
              <a:extLst>
                <a:ext uri="{FF2B5EF4-FFF2-40B4-BE49-F238E27FC236}">
                  <a16:creationId xmlns:a16="http://schemas.microsoft.com/office/drawing/2014/main" id="{A0213AAD-C4EC-8A6D-5323-5DB7AF285166}"/>
                </a:ext>
              </a:extLst>
            </xdr:cNvPr>
            <xdr:cNvSpPr/>
          </xdr:nvSpPr>
          <xdr:spPr>
            <a:xfrm>
              <a:off x="2895600" y="511599"/>
              <a:ext cx="339269" cy="210792"/>
            </a:xfrm>
            <a:prstGeom prst="rightArrow">
              <a:avLst/>
            </a:prstGeom>
            <a:solidFill>
              <a:schemeClr val="tx1">
                <a:lumMod val="65000"/>
                <a:lumOff val="3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NG" sz="1100" b="1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F4697160-AA00-45A8-AFAB-0358E9808D65}"/>
              </a:ext>
            </a:extLst>
          </xdr:cNvPr>
          <xdr:cNvGrpSpPr/>
        </xdr:nvGrpSpPr>
        <xdr:grpSpPr>
          <a:xfrm>
            <a:off x="2111826" y="457199"/>
            <a:ext cx="2220686" cy="326571"/>
            <a:chOff x="2853267" y="516467"/>
            <a:chExt cx="1200119" cy="198576"/>
          </a:xfrm>
          <a:solidFill>
            <a:schemeClr val="bg1">
              <a:lumMod val="75000"/>
            </a:schemeClr>
          </a:solidFill>
        </xdr:grpSpPr>
        <xdr:sp macro="" textlink="">
          <xdr:nvSpPr>
            <xdr:cNvPr id="17" name="TextBox 16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141FFED3-7F69-4487-5D8A-DA56BA407567}"/>
                </a:ext>
              </a:extLst>
            </xdr:cNvPr>
            <xdr:cNvSpPr txBox="1"/>
          </xdr:nvSpPr>
          <xdr:spPr>
            <a:xfrm>
              <a:off x="2853267" y="516467"/>
              <a:ext cx="1200119" cy="19857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US" sz="14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SUMMARY - SORTED</a:t>
              </a:r>
              <a:endParaRPr lang="en-NG" sz="14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8" name="Arrow: Right 17">
              <a:extLst>
                <a:ext uri="{FF2B5EF4-FFF2-40B4-BE49-F238E27FC236}">
                  <a16:creationId xmlns:a16="http://schemas.microsoft.com/office/drawing/2014/main" id="{9D2B09D1-F217-A213-1A3B-7C3DFA28BCBC}"/>
                </a:ext>
              </a:extLst>
            </xdr:cNvPr>
            <xdr:cNvSpPr/>
          </xdr:nvSpPr>
          <xdr:spPr>
            <a:xfrm>
              <a:off x="2885882" y="524633"/>
              <a:ext cx="206227" cy="179987"/>
            </a:xfrm>
            <a:prstGeom prst="rightArrow">
              <a:avLst/>
            </a:prstGeom>
            <a:solidFill>
              <a:schemeClr val="tx1">
                <a:lumMod val="65000"/>
                <a:lumOff val="3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NG" sz="1100" b="1"/>
            </a:p>
          </xdr:txBody>
        </xdr:sp>
      </xdr:grp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RZO" refreshedDate="44859.432739814816" backgroundQuery="1" createdVersion="8" refreshedVersion="7" minRefreshableVersion="3" recordCount="0" supportSubquery="1" supportAdvancedDrill="1" xr:uid="{CE8207F3-5B05-43DF-9122-6B2D683B88AF}">
  <cacheSource type="external" connectionId="2"/>
  <cacheFields count="4">
    <cacheField name="[HQ_Fleet_Attendance].[data-section1-activity].[data-section1-activity]" caption="data-section1-activity" numFmtId="0" hierarchy="2" level="1">
      <sharedItems containsSemiMixedTypes="0" containsNonDate="0" containsString="0"/>
    </cacheField>
    <cacheField name="[HQ_Fleet_Attendance].[data-section1-position].[data-section1-position]" caption="data-section1-position" numFmtId="0" hierarchy="3" level="1">
      <sharedItems containsSemiMixedTypes="0" containsNonDate="0" containsString="0"/>
    </cacheField>
    <cacheField name="[HQ_Fleet_Attendance].[data-section1-staff].[data-section1-staff]" caption="data-section1-staff" numFmtId="0" hierarchy="4" level="1">
      <sharedItems count="13">
        <s v="abdulazeez_juwon"/>
        <s v="ademola_akintayo"/>
        <s v="ayo_bamidele"/>
        <s v="babatunde_afeez"/>
        <s v="chibuzo_nwankwo"/>
        <s v="david_jimba"/>
        <s v="joseph_akpan"/>
        <s v="kenedy_onaise"/>
        <s v="michael_omotosho"/>
        <s v="ogunlade_samuel_tope"/>
        <s v="oluwaseun_corper"/>
        <s v="paul_oyelaran"/>
        <s v="titilayo_esther"/>
      </sharedItems>
    </cacheField>
    <cacheField name="[HQ_Fleet_Attendance].[Week of the Year].[Week of the Year]" caption="Week of the Year" numFmtId="0" hierarchy="16" level="1">
      <sharedItems containsSemiMixedTypes="0" containsNonDate="0" containsString="0"/>
    </cacheField>
  </cacheFields>
  <cacheHierarchies count="19">
    <cacheHierarchy uniqueName="[HQ_Fleet_Attendance].[data-start_time]" caption="data-start_time" attribute="1" defaultMemberUniqueName="[HQ_Fleet_Attendance].[data-start_time].[All]" allUniqueName="[HQ_Fleet_Attendance].[data-start_time].[All]" dimensionUniqueName="[HQ_Fleet_Attendance]" displayFolder="" count="0" memberValueDatatype="130" unbalanced="0"/>
    <cacheHierarchy uniqueName="[HQ_Fleet_Attendance].[data-end_time]" caption="data-end_time" attribute="1" time="1" defaultMemberUniqueName="[HQ_Fleet_Attendance].[data-end_time].[All]" allUniqueName="[HQ_Fleet_Attendance].[data-end_time].[All]" dimensionUniqueName="[HQ_Fleet_Attendance]" displayFolder="" count="0" memberValueDatatype="7" unbalanced="0"/>
    <cacheHierarchy uniqueName="[HQ_Fleet_Attendance].[data-section1-activity]" caption="data-section1-activity" attribute="1" defaultMemberUniqueName="[HQ_Fleet_Attendance].[data-section1-activity].[All]" allUniqueName="[HQ_Fleet_Attendance].[data-section1-activity].[All]" dimensionUniqueName="[HQ_Fleet_Attendance]" displayFolder="" count="2" memberValueDatatype="130" unbalanced="0">
      <fieldsUsage count="2">
        <fieldUsage x="-1"/>
        <fieldUsage x="0"/>
      </fieldsUsage>
    </cacheHierarchy>
    <cacheHierarchy uniqueName="[HQ_Fleet_Attendance].[data-section1-position]" caption="data-section1-position" attribute="1" defaultMemberUniqueName="[HQ_Fleet_Attendance].[data-section1-position].[All]" allUniqueName="[HQ_Fleet_Attendance].[data-section1-position].[All]" dimensionUniqueName="[HQ_Fleet_Attendance]" displayFolder="" count="2" memberValueDatatype="130" unbalanced="0">
      <fieldsUsage count="2">
        <fieldUsage x="-1"/>
        <fieldUsage x="1"/>
      </fieldsUsage>
    </cacheHierarchy>
    <cacheHierarchy uniqueName="[HQ_Fleet_Attendance].[data-section1-staff]" caption="data-section1-staff" attribute="1" defaultMemberUniqueName="[HQ_Fleet_Attendance].[data-section1-staff].[All]" allUniqueName="[HQ_Fleet_Attendance].[data-section1-staff].[All]" dimensionUniqueName="[HQ_Fleet_Attendance]" displayFolder="" count="2" memberValueDatatype="130" unbalanced="0">
      <fieldsUsage count="2">
        <fieldUsage x="-1"/>
        <fieldUsage x="2"/>
      </fieldsUsage>
    </cacheHierarchy>
    <cacheHierarchy uniqueName="[HQ_Fleet_Attendance].[data-section1-staff_sick]" caption="data-section1-staff_sick" attribute="1" defaultMemberUniqueName="[HQ_Fleet_Attendance].[data-section1-staff_sick].[All]" allUniqueName="[HQ_Fleet_Attendance].[data-section1-staff_sick].[All]" dimensionUniqueName="[HQ_Fleet_Attendance]" displayFolder="" count="0" memberValueDatatype="130" unbalanced="0"/>
    <cacheHierarchy uniqueName="[HQ_Fleet_Attendance].[data-section1-sick_reason]" caption="data-section1-sick_reason" attribute="1" defaultMemberUniqueName="[HQ_Fleet_Attendance].[data-section1-sick_reason].[All]" allUniqueName="[HQ_Fleet_Attendance].[data-section1-sick_reason].[All]" dimensionUniqueName="[HQ_Fleet_Attendance]" displayFolder="" count="0" memberValueDatatype="130" unbalanced="0"/>
    <cacheHierarchy uniqueName="[HQ_Fleet_Attendance].[data-section1-staff_on_leave]" caption="data-section1-staff_on_leave" attribute="1" defaultMemberUniqueName="[HQ_Fleet_Attendance].[data-section1-staff_on_leave].[All]" allUniqueName="[HQ_Fleet_Attendance].[data-section1-staff_on_leave].[All]" dimensionUniqueName="[HQ_Fleet_Attendance]" displayFolder="" count="0" memberValueDatatype="130" unbalanced="0"/>
    <cacheHierarchy uniqueName="[HQ_Fleet_Attendance].[data-section1-leave_type]" caption="data-section1-leave_type" attribute="1" defaultMemberUniqueName="[HQ_Fleet_Attendance].[data-section1-leave_type].[All]" allUniqueName="[HQ_Fleet_Attendance].[data-section1-leave_type].[All]" dimensionUniqueName="[HQ_Fleet_Attendance]" displayFolder="" count="0" memberValueDatatype="130" unbalanced="0"/>
    <cacheHierarchy uniqueName="[HQ_Fleet_Attendance].[data-section1-staff_absentee]" caption="data-section1-staff_absentee" attribute="1" defaultMemberUniqueName="[HQ_Fleet_Attendance].[data-section1-staff_absentee].[All]" allUniqueName="[HQ_Fleet_Attendance].[data-section1-staff_absentee].[All]" dimensionUniqueName="[HQ_Fleet_Attendance]" displayFolder="" count="0" memberValueDatatype="130" unbalanced="0"/>
    <cacheHierarchy uniqueName="[HQ_Fleet_Attendance].[data-section1-absent_reason]" caption="data-section1-absent_reason" attribute="1" defaultMemberUniqueName="[HQ_Fleet_Attendance].[data-section1-absent_reason].[All]" allUniqueName="[HQ_Fleet_Attendance].[data-section1-absent_reason].[All]" dimensionUniqueName="[HQ_Fleet_Attendance]" displayFolder="" count="0" memberValueDatatype="130" unbalanced="0"/>
    <cacheHierarchy uniqueName="[HQ_Fleet_Attendance].[data-section1-uid]" caption="data-section1-uid" attribute="1" defaultMemberUniqueName="[HQ_Fleet_Attendance].[data-section1-uid].[All]" allUniqueName="[HQ_Fleet_Attendance].[data-section1-uid].[All]" dimensionUniqueName="[HQ_Fleet_Attendance]" displayFolder="" count="0" memberValueDatatype="5" unbalanced="0"/>
    <cacheHierarchy uniqueName="[HQ_Fleet_Attendance].[data-meta-instanceID]" caption="data-meta-instanceID" attribute="1" defaultMemberUniqueName="[HQ_Fleet_Attendance].[data-meta-instanceID].[All]" allUniqueName="[HQ_Fleet_Attendance].[data-meta-instanceID].[All]" dimensionUniqueName="[HQ_Fleet_Attendance]" displayFolder="" count="0" memberValueDatatype="130" unbalanced="0"/>
    <cacheHierarchy uniqueName="[HQ_Fleet_Attendance].[Week Name]" caption="Week Name" attribute="1" defaultMemberUniqueName="[HQ_Fleet_Attendance].[Week Name].[All]" allUniqueName="[HQ_Fleet_Attendance].[Week Name].[All]" dimensionUniqueName="[HQ_Fleet_Attendance]" displayFolder="" count="0" memberValueDatatype="130" unbalanced="0"/>
    <cacheHierarchy uniqueName="[HQ_Fleet_Attendance].[Month Number]" caption="Month Number" attribute="1" defaultMemberUniqueName="[HQ_Fleet_Attendance].[Month Number].[All]" allUniqueName="[HQ_Fleet_Attendance].[Month Number].[All]" dimensionUniqueName="[HQ_Fleet_Attendance]" displayFolder="" count="0" memberValueDatatype="20" unbalanced="0"/>
    <cacheHierarchy uniqueName="[HQ_Fleet_Attendance].[Date]" caption="Date" attribute="1" time="1" defaultMemberUniqueName="[HQ_Fleet_Attendance].[Date].[All]" allUniqueName="[HQ_Fleet_Attendance].[Date].[All]" dimensionUniqueName="[HQ_Fleet_Attendance]" displayFolder="" count="0" memberValueDatatype="7" unbalanced="0"/>
    <cacheHierarchy uniqueName="[HQ_Fleet_Attendance].[Week of the Year]" caption="Week of the Year" attribute="1" defaultMemberUniqueName="[HQ_Fleet_Attendance].[Week of the Year].[All]" allUniqueName="[HQ_Fleet_Attendance].[Week of the Year].[All]" dimensionUniqueName="[HQ_Fleet_Attendance]" displayFolder="" count="2" memberValueDatatype="20" unbalanced="0">
      <fieldsUsage count="2">
        <fieldUsage x="-1"/>
        <fieldUsage x="3"/>
      </fieldsUsage>
    </cacheHierarchy>
    <cacheHierarchy uniqueName="[Measures].[__XL_Count HQ_Fleet_Attendance]" caption="__XL_Count HQ_Fleet_Attendance" measure="1" displayFolder="" measureGroup="HQ_Fleet_Attendance" count="0" hidden="1"/>
    <cacheHierarchy uniqueName="[Measures].[__No measures defined]" caption="__No measures defined" measure="1" displayFolder="" count="0" hidden="1"/>
  </cacheHierarchies>
  <kpis count="0"/>
  <dimensions count="2">
    <dimension name="HQ_Fleet_Attendance" uniqueName="[HQ_Fleet_Attendance]" caption="HQ_Fleet_Attendance"/>
    <dimension measure="1" name="Measures" uniqueName="[Measures]" caption="Measures"/>
  </dimensions>
  <measureGroups count="1">
    <measureGroup name="HQ_Fleet_Attendance" caption="HQ_Fleet_Attend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73970-7ED1-4626-85AC-7D49C2DB49CE}" name="PivotTable1" cacheId="4" applyNumberFormats="0" applyBorderFormats="0" applyFontFormats="0" applyPatternFormats="0" applyAlignmentFormats="0" applyWidthHeightFormats="1" dataCaption="Values" updatedVersion="7" minRefreshableVersion="3" useAutoFormatting="1" subtotalHiddenItems="1" rowGrandTotals="0" colGrandTotals="0" itemPrintTitles="1" createdVersion="8" indent="0" compact="0" outline="1" outlineData="1" compactData="0" multipleFieldFilters="0">
  <location ref="A6:A19" firstHeaderRow="1" firstDataRow="1" firstDataCol="1" rowPageCount="2" colPageCount="1"/>
  <pivotFields count="4">
    <pivotField axis="axisPage" compact="0" allDrilled="1" showAll="0" dataSourceSort="1" defaultSubtotal="0" defaultAttributeDrillState="1"/>
    <pivotField axis="axisPage" compact="0" allDrilled="1" showAll="0" dataSourceSort="1" defaultSubtotal="0" defaultAttributeDrillState="1"/>
    <pivotField name="Staff Name" axis="axisRow" compact="0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compact="0" allDrilled="1" subtotalTop="0" showAll="0" dataSourceSort="1" defaultSubtotal="0" defaultAttributeDrillState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pageFields count="2">
    <pageField fld="0" hier="2" name="[HQ_Fleet_Attendance].[data-section1-activity].[All]" cap="All"/>
    <pageField fld="1" hier="3" name="[HQ_Fleet_Attendance].[data-section1-position].[All]" cap="All"/>
  </pageFields>
  <formats count="3">
    <format dxfId="35">
      <pivotArea type="all" dataOnly="0" outline="0" fieldPosition="0"/>
    </format>
    <format dxfId="34">
      <pivotArea field="2" type="button" dataOnly="0" labelOnly="1" outline="0" axis="axisRow" fieldPosition="0"/>
    </format>
    <format dxfId="33">
      <pivotArea dataOnly="0" labelOnly="1" outline="0" fieldPosition="0">
        <references count="1">
          <reference field="2" count="0"/>
        </references>
      </pivotArea>
    </format>
  </formats>
  <pivotHierarchies count="19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>
      <members count="1" level="1">
        <member name="[HQ_Fleet_Attendance].[Week of the Year].&amp;[37]"/>
      </members>
    </pivotHierarchy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HQ_Fleet_Attendance">
        <x15:activeTabTopLevelEntity name="[HQ_Fleet_Attend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99E2D3-9630-4850-9E23-FF06A7B7B9A6}" autoFormatId="16" applyNumberFormats="0" applyBorderFormats="0" applyFontFormats="0" applyPatternFormats="0" applyAlignmentFormats="0" applyWidthHeightFormats="0">
  <queryTableRefresh nextId="21">
    <queryTableFields count="17">
      <queryTableField id="1" name="data-start_time" tableColumnId="1"/>
      <queryTableField id="2" name="data-end_time" tableColumnId="2"/>
      <queryTableField id="3" name="data-section1-activity" tableColumnId="3"/>
      <queryTableField id="4" name="data-section1-position" tableColumnId="4"/>
      <queryTableField id="5" name="data-section1-staff" tableColumnId="5"/>
      <queryTableField id="6" name="data-section1-staff_sick" tableColumnId="6"/>
      <queryTableField id="7" name="data-section1-sick_reason" tableColumnId="7"/>
      <queryTableField id="8" name="data-section1-staff_on_leave" tableColumnId="8"/>
      <queryTableField id="9" name="data-section1-leave_type" tableColumnId="9"/>
      <queryTableField id="10" name="data-section1-staff_absentee" tableColumnId="10"/>
      <queryTableField id="11" name="data-section1-absent_reason" tableColumnId="11"/>
      <queryTableField id="12" name="data-section1-uid" tableColumnId="12"/>
      <queryTableField id="13" name="data-meta-instanceID" tableColumnId="13"/>
      <queryTableField id="14" name="Week Name" tableColumnId="14"/>
      <queryTableField id="15" name="Month Number" tableColumnId="15"/>
      <queryTableField id="19" name="Date" tableColumnId="19"/>
      <queryTableField id="17" name="Week of the Year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FB37-A926-46AD-9DF1-9788C54106C0}" name="HQ_Fleet_Attendance" displayName="HQ_Fleet_Attendance" ref="A1:Q1328" tableType="queryTable" totalsRowShown="0">
  <autoFilter ref="A1:Q1328" xr:uid="{9F0BFB37-A926-46AD-9DF1-9788C54106C0}"/>
  <tableColumns count="17">
    <tableColumn id="1" xr3:uid="{EE56C637-6F88-4C8E-B7DA-35C2FC54FDA4}" uniqueName="1" name="data-start_time" queryTableFieldId="1" dataDxfId="13"/>
    <tableColumn id="2" xr3:uid="{DA52AB49-A67A-4EAC-9390-0E16BF9C6601}" uniqueName="2" name="data-end_time" queryTableFieldId="2" dataDxfId="12"/>
    <tableColumn id="3" xr3:uid="{DCD74CD9-7099-4E16-B06A-C5CD19C665E4}" uniqueName="3" name="data-section1-activity" queryTableFieldId="3" dataDxfId="11"/>
    <tableColumn id="4" xr3:uid="{5EE8A356-9D4E-488B-80AD-B54F9B85BC8F}" uniqueName="4" name="data-section1-position" queryTableFieldId="4" dataDxfId="10"/>
    <tableColumn id="5" xr3:uid="{56E05F19-33CF-4087-8C51-12969DE9326D}" uniqueName="5" name="data-section1-staff" queryTableFieldId="5" dataDxfId="9"/>
    <tableColumn id="6" xr3:uid="{C67D349D-A133-4A06-BACA-E4A3B5EA7FC5}" uniqueName="6" name="data-section1-staff_sick" queryTableFieldId="6" dataDxfId="8"/>
    <tableColumn id="7" xr3:uid="{7C485732-5C19-4E25-B60C-4C6684301D65}" uniqueName="7" name="data-section1-sick_reason" queryTableFieldId="7" dataDxfId="7"/>
    <tableColumn id="8" xr3:uid="{A6FE73EF-BEA5-4CC3-B0B1-3B5BD79BF0C0}" uniqueName="8" name="data-section1-staff_on_leave" queryTableFieldId="8" dataDxfId="6"/>
    <tableColumn id="9" xr3:uid="{9C0B2DB7-653C-487F-8CC3-D00D25619493}" uniqueName="9" name="data-section1-leave_type" queryTableFieldId="9" dataDxfId="5"/>
    <tableColumn id="10" xr3:uid="{AB97C4C4-0248-46DC-8D65-817057465E7E}" uniqueName="10" name="data-section1-staff_absentee" queryTableFieldId="10" dataDxfId="4"/>
    <tableColumn id="11" xr3:uid="{FD46C115-483A-40D6-9D77-024E0E4DDF22}" uniqueName="11" name="data-section1-absent_reason" queryTableFieldId="11" dataDxfId="3"/>
    <tableColumn id="12" xr3:uid="{A82CE74A-5A27-4E50-98E2-D326AFC09A3F}" uniqueName="12" name="data-section1-uid" queryTableFieldId="12"/>
    <tableColumn id="13" xr3:uid="{C022990D-BFA9-426F-B3C9-0096C680B87D}" uniqueName="13" name="data-meta-instanceID" queryTableFieldId="13" dataDxfId="2"/>
    <tableColumn id="14" xr3:uid="{15AAA898-0A67-423B-BCFA-A1A2EA514A64}" uniqueName="14" name="Week Name" queryTableFieldId="14" dataDxfId="1"/>
    <tableColumn id="15" xr3:uid="{D114C9C8-EA34-452F-A6E9-09663B7A4C42}" uniqueName="15" name="Month Number" queryTableFieldId="15"/>
    <tableColumn id="19" xr3:uid="{4A1D0FE6-A775-4EE9-BC39-C188D4C35DCE}" uniqueName="19" name="Date" queryTableFieldId="19" dataDxfId="0"/>
    <tableColumn id="17" xr3:uid="{1A7AD299-6D1A-414F-93DC-8201EFBEB323}" uniqueName="17" name="Week of the Year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80F2-7086-4D81-BDD6-637B09B14728}">
  <sheetPr>
    <tabColor rgb="FFFFFF00"/>
  </sheetPr>
  <dimension ref="A1:AH1"/>
  <sheetViews>
    <sheetView showGridLines="0" showRowColHeaders="0" zoomScale="70" zoomScaleNormal="70" workbookViewId="0">
      <selection activeCell="A6" sqref="A6"/>
    </sheetView>
  </sheetViews>
  <sheetFormatPr defaultRowHeight="14.4" x14ac:dyDescent="0.3"/>
  <cols>
    <col min="1" max="1" width="26.77734375" bestFit="1" customWidth="1"/>
    <col min="2" max="2" width="1.44140625" customWidth="1"/>
    <col min="3" max="3" width="18.5546875" bestFit="1" customWidth="1"/>
    <col min="4" max="4" width="1.33203125" customWidth="1"/>
    <col min="5" max="5" width="27.5546875" bestFit="1" customWidth="1"/>
    <col min="6" max="6" width="1.44140625" customWidth="1"/>
    <col min="7" max="7" width="21.21875" bestFit="1" customWidth="1"/>
    <col min="8" max="8" width="1.88671875" customWidth="1"/>
    <col min="9" max="9" width="19.88671875" bestFit="1" customWidth="1"/>
    <col min="10" max="10" width="13.88671875" bestFit="1" customWidth="1"/>
    <col min="11" max="11" width="2" customWidth="1"/>
    <col min="12" max="12" width="35.77734375" bestFit="1" customWidth="1"/>
    <col min="13" max="13" width="5.21875" bestFit="1" customWidth="1"/>
    <col min="14" max="14" width="1.44140625" customWidth="1"/>
    <col min="28" max="28" width="6.5546875" customWidth="1"/>
  </cols>
  <sheetData>
    <row r="1" spans="1:34" s="49" customFormat="1" ht="34.200000000000003" customHeight="1" thickBot="1" x14ac:dyDescent="0.35">
      <c r="A1" s="41" t="s">
        <v>1437</v>
      </c>
      <c r="B1" s="42"/>
      <c r="C1" s="44">
        <f ca="1">TODAY()</f>
        <v>44859</v>
      </c>
      <c r="D1" s="42"/>
      <c r="E1" s="41" t="s">
        <v>1438</v>
      </c>
      <c r="F1" s="42"/>
      <c r="G1" s="47" t="str">
        <f ca="1">TEXT(NOW(),"HH:MM:SS AM/PM")</f>
        <v>10:47:24 am</v>
      </c>
      <c r="H1" s="42"/>
      <c r="I1" s="43" t="s">
        <v>1439</v>
      </c>
      <c r="J1" s="43" t="str">
        <f ca="1">UPPER(TEXT(C1,"dddd"))</f>
        <v>TUESDAY</v>
      </c>
      <c r="K1" s="45"/>
      <c r="L1" s="41" t="s">
        <v>1440</v>
      </c>
      <c r="M1" s="48">
        <f ca="1">_xlfn.ISOWEEKNUM(C1)</f>
        <v>43</v>
      </c>
      <c r="N1" s="43"/>
      <c r="O1" s="60" t="s">
        <v>1441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2"/>
      <c r="AC1" s="50"/>
      <c r="AD1" s="50"/>
      <c r="AE1" s="50"/>
      <c r="AF1" s="50"/>
      <c r="AG1" s="50"/>
      <c r="AH1" s="50"/>
    </row>
  </sheetData>
  <mergeCells count="1">
    <mergeCell ref="O1:A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E4C6-DF29-4B01-926F-1BE478E9C7E5}">
  <sheetPr>
    <tabColor rgb="FF92D050"/>
  </sheetPr>
  <dimension ref="A1:AH38"/>
  <sheetViews>
    <sheetView tabSelected="1" zoomScale="80" zoomScaleNormal="80" workbookViewId="0">
      <selection activeCell="A21" sqref="A21"/>
    </sheetView>
  </sheetViews>
  <sheetFormatPr defaultRowHeight="14.4" x14ac:dyDescent="0.3"/>
  <cols>
    <col min="1" max="1" width="21.6640625" bestFit="1" customWidth="1"/>
    <col min="2" max="2" width="11.33203125" bestFit="1" customWidth="1"/>
    <col min="3" max="3" width="11.88671875" bestFit="1" customWidth="1"/>
    <col min="4" max="4" width="11.5546875" bestFit="1" customWidth="1"/>
    <col min="5" max="5" width="12.21875" bestFit="1" customWidth="1"/>
    <col min="6" max="6" width="14.109375" bestFit="1" customWidth="1"/>
    <col min="7" max="7" width="15.21875" bestFit="1" customWidth="1"/>
    <col min="8" max="8" width="6.5546875" bestFit="1" customWidth="1"/>
    <col min="9" max="9" width="8.5546875" bestFit="1" customWidth="1"/>
    <col min="10" max="10" width="13.6640625" bestFit="1" customWidth="1"/>
    <col min="11" max="11" width="13.5546875" bestFit="1" customWidth="1"/>
    <col min="12" max="12" width="12.6640625" bestFit="1" customWidth="1"/>
    <col min="13" max="13" width="3.77734375" customWidth="1"/>
    <col min="14" max="14" width="20.21875" bestFit="1" customWidth="1"/>
    <col min="15" max="15" width="13.33203125" bestFit="1" customWidth="1"/>
    <col min="16" max="16" width="13.109375" bestFit="1" customWidth="1"/>
    <col min="17" max="17" width="10.77734375" bestFit="1" customWidth="1"/>
    <col min="21" max="21" width="14.6640625" customWidth="1"/>
    <col min="22" max="22" width="13.77734375" customWidth="1"/>
    <col min="23" max="23" width="12.6640625" bestFit="1" customWidth="1"/>
    <col min="24" max="24" width="2.77734375" customWidth="1"/>
    <col min="25" max="25" width="20.21875" bestFit="1" customWidth="1"/>
    <col min="32" max="32" width="14.109375" customWidth="1"/>
    <col min="33" max="33" width="14.6640625" customWidth="1"/>
    <col min="34" max="34" width="13" customWidth="1"/>
  </cols>
  <sheetData>
    <row r="1" spans="1:34" ht="15" thickBot="1" x14ac:dyDescent="0.35">
      <c r="A1" s="6" t="s">
        <v>1363</v>
      </c>
      <c r="B1" s="8">
        <f>DATEVALUE(TEXT('HQ Fleet Attendance'!B2,"dd/mm/yyyy"))</f>
        <v>44741</v>
      </c>
      <c r="C1" s="9" t="str">
        <f>TEXT('HQ Fleet Attendance'!B2,"HH:MM:SS")</f>
        <v>15:03:00</v>
      </c>
      <c r="D1" s="10" t="s">
        <v>13</v>
      </c>
      <c r="E1" s="10" t="s">
        <v>1367</v>
      </c>
      <c r="F1" s="10" t="s">
        <v>14</v>
      </c>
      <c r="G1" s="10" t="s">
        <v>16</v>
      </c>
    </row>
    <row r="2" spans="1:34" ht="15" thickBot="1" x14ac:dyDescent="0.35">
      <c r="A2" s="7" t="s">
        <v>1364</v>
      </c>
      <c r="B2" s="11">
        <f ca="1">TODAY()</f>
        <v>44859</v>
      </c>
      <c r="C2" s="12" t="str">
        <f ca="1">TEXT(NOW(),"HH:MM:SS AM/PM")</f>
        <v>10:47:24 am</v>
      </c>
      <c r="D2" s="10" t="str">
        <f ca="1">TEXT(B2,"dddd")</f>
        <v>Tuesday</v>
      </c>
      <c r="E2" s="10" t="str">
        <f ca="1">TEXT(B2,"mmmm")</f>
        <v>October</v>
      </c>
      <c r="F2" s="10">
        <f ca="1">MONTH(B2)</f>
        <v>10</v>
      </c>
      <c r="G2" s="10">
        <f ca="1">_xlfn.ISOWEEKNUM(B2)</f>
        <v>43</v>
      </c>
    </row>
    <row r="3" spans="1:34" ht="15" thickBot="1" x14ac:dyDescent="0.35">
      <c r="A3" s="20" t="s">
        <v>2</v>
      </c>
      <c r="B3" s="17" t="s" vm="2">
        <v>1365</v>
      </c>
      <c r="C3" s="4"/>
    </row>
    <row r="4" spans="1:34" ht="15" thickBot="1" x14ac:dyDescent="0.35">
      <c r="A4" s="20" t="s">
        <v>3</v>
      </c>
      <c r="B4" s="17" t="s" vm="1">
        <v>1365</v>
      </c>
      <c r="C4" s="4"/>
    </row>
    <row r="5" spans="1:34" ht="15" thickBot="1" x14ac:dyDescent="0.35">
      <c r="A5" s="64" t="str">
        <f ca="1">"CURRENT WEEK ANALYSIS OF "&amp;UPPER($E$2)</f>
        <v>CURRENT WEEK ANALYSIS OF OCTOBER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  <c r="N5" s="63" t="str">
        <f ca="1">"PREVIOUS WEEK ANALYSIS OF "&amp;UPPER($E$2)</f>
        <v>PREVIOUS WEEK ANALYSIS OF OCTOBER</v>
      </c>
      <c r="O5" s="63"/>
      <c r="P5" s="63"/>
      <c r="Q5" s="63"/>
      <c r="R5" s="63"/>
      <c r="S5" s="63"/>
      <c r="T5" s="63"/>
      <c r="U5" s="63"/>
      <c r="V5" s="63"/>
      <c r="W5" s="63"/>
      <c r="Y5" s="63" t="str">
        <f ca="1">"PREVIOUS MONTH ANALYSIS OF "&amp;IF(MONTH($B$2)-1,VLOOKUP(MONTH($B$2)-1,'Month Guide'!$A:$B,2,0))</f>
        <v>PREVIOUS MONTH ANALYSIS OF SEPTEMBER</v>
      </c>
      <c r="Z5" s="63"/>
      <c r="AA5" s="63"/>
      <c r="AB5" s="63"/>
      <c r="AC5" s="63"/>
      <c r="AD5" s="63"/>
      <c r="AE5" s="63"/>
      <c r="AF5" s="63"/>
      <c r="AG5" s="63"/>
      <c r="AH5" s="63"/>
    </row>
    <row r="6" spans="1:34" ht="29.4" thickBot="1" x14ac:dyDescent="0.35">
      <c r="A6" s="20" t="s">
        <v>1388</v>
      </c>
      <c r="B6" s="21" t="s">
        <v>1366</v>
      </c>
      <c r="C6" s="22" t="s">
        <v>15</v>
      </c>
      <c r="D6" s="21" t="s">
        <v>120</v>
      </c>
      <c r="E6" s="21" t="s">
        <v>140</v>
      </c>
      <c r="F6" s="21" t="s">
        <v>24</v>
      </c>
      <c r="G6" s="21" t="s">
        <v>65</v>
      </c>
      <c r="H6" s="21" t="s">
        <v>84</v>
      </c>
      <c r="I6" s="21" t="s">
        <v>101</v>
      </c>
      <c r="J6" s="23" t="s">
        <v>1387</v>
      </c>
      <c r="K6" s="18" t="s">
        <v>1385</v>
      </c>
      <c r="L6" s="24" t="s">
        <v>1386</v>
      </c>
      <c r="N6" s="19" t="str">
        <f>A$6</f>
        <v>Staff Name</v>
      </c>
      <c r="O6" s="19" t="str">
        <f>D$6</f>
        <v>Monday</v>
      </c>
      <c r="P6" s="19" t="str">
        <f t="shared" ref="P6:T6" si="0">E$6</f>
        <v>Tuesday</v>
      </c>
      <c r="Q6" s="19" t="str">
        <f t="shared" si="0"/>
        <v>Wednesday</v>
      </c>
      <c r="R6" s="19" t="str">
        <f t="shared" si="0"/>
        <v>Thursday</v>
      </c>
      <c r="S6" s="19" t="str">
        <f t="shared" si="0"/>
        <v>Friday</v>
      </c>
      <c r="T6" s="19" t="str">
        <f t="shared" si="0"/>
        <v>Saturday</v>
      </c>
      <c r="U6" s="23" t="s">
        <v>1387</v>
      </c>
      <c r="V6" s="18" t="s">
        <v>1385</v>
      </c>
      <c r="W6" s="18" t="s">
        <v>1386</v>
      </c>
      <c r="Y6" s="19" t="str">
        <f>N$6</f>
        <v>Staff Name</v>
      </c>
      <c r="Z6" s="19" t="str">
        <f t="shared" ref="Z6:AE6" si="1">O$6</f>
        <v>Monday</v>
      </c>
      <c r="AA6" s="19" t="str">
        <f t="shared" si="1"/>
        <v>Tuesday</v>
      </c>
      <c r="AB6" s="19" t="str">
        <f t="shared" si="1"/>
        <v>Wednesday</v>
      </c>
      <c r="AC6" s="19" t="str">
        <f t="shared" si="1"/>
        <v>Thursday</v>
      </c>
      <c r="AD6" s="19" t="str">
        <f t="shared" si="1"/>
        <v>Friday</v>
      </c>
      <c r="AE6" s="19" t="str">
        <f t="shared" si="1"/>
        <v>Saturday</v>
      </c>
      <c r="AF6" s="23" t="s">
        <v>1387</v>
      </c>
      <c r="AG6" s="18" t="s">
        <v>1385</v>
      </c>
      <c r="AH6" s="18" t="s">
        <v>1386</v>
      </c>
    </row>
    <row r="7" spans="1:34" ht="15" thickBot="1" x14ac:dyDescent="0.35">
      <c r="A7" s="17" t="s">
        <v>30</v>
      </c>
      <c r="B7" s="25">
        <f>_xlfn.MAXIFS(HQ_Fleet_Attendance[data-end_time],HQ_Fleet_Attendance[data-section1-staff],Summary!A7)</f>
        <v>44859.40902777778</v>
      </c>
      <c r="C7" s="26">
        <f>_xlfn.MAXIFS('HQ Fleet Attendance'!P:P,'HQ Fleet Attendance'!E:E,Summary!A7)</f>
        <v>44859</v>
      </c>
      <c r="D7" s="17" t="str">
        <f ca="1">IF(COUNTIFS('HQ Fleet Attendance'!Q:Q,Summary!$G$2,'HQ Fleet Attendance'!E:E,Summary!$A7,'HQ Fleet Attendance'!N:N,Summary!D$6)&gt;0,"Present","Absent")</f>
        <v>Present</v>
      </c>
      <c r="E7" s="17" t="str">
        <f ca="1">IF(COUNTIFS('HQ Fleet Attendance'!Q:Q,Summary!$G$2,'HQ Fleet Attendance'!E:E,Summary!$A7,'HQ Fleet Attendance'!N:N,Summary!E$6)&gt;0,"Present","Absent")</f>
        <v>Present</v>
      </c>
      <c r="F7" s="17" t="str">
        <f ca="1">IF(COUNTIFS('HQ Fleet Attendance'!Q:Q,Summary!$G$2,'HQ Fleet Attendance'!E:E,Summary!$A7,'HQ Fleet Attendance'!N:N,Summary!F$6)&gt;0,"Present","Absent")</f>
        <v>Absent</v>
      </c>
      <c r="G7" s="17" t="str">
        <f ca="1">IF(COUNTIFS('HQ Fleet Attendance'!Q:Q,Summary!$G$2,'HQ Fleet Attendance'!E:E,Summary!$A7,'HQ Fleet Attendance'!N:N,Summary!G$6)&gt;0,"Present","Absent")</f>
        <v>Absent</v>
      </c>
      <c r="H7" s="17" t="str">
        <f ca="1">IF(COUNTIFS('HQ Fleet Attendance'!Q:Q,Summary!$G$2,'HQ Fleet Attendance'!E:E,Summary!$A7,'HQ Fleet Attendance'!N:N,Summary!H$6)&gt;0,"Present","Absent")</f>
        <v>Absent</v>
      </c>
      <c r="I7" s="17" t="str">
        <f ca="1">IF(COUNTIFS('HQ Fleet Attendance'!Q:Q,Summary!$G$2,'HQ Fleet Attendance'!E:E,Summary!$A7,'HQ Fleet Attendance'!N:N,Summary!I$6)&gt;0,"Present","Absent")</f>
        <v>Absent</v>
      </c>
      <c r="J7" s="27">
        <f ca="1">IF(COUNTIF(D7:I7,"Present")=1,10%,IF(COUNTIF(D7:I7,"Present")=2,20%,IF(COUNTIF(D7:I7,"Present")=3,40%,IF(COUNTIF(D7:I7,"Present")=4,60%,IF(COUNTIF(D7:I7,"Present")=5,80%,IF(COUNTIF(D7:I7,"Present")=6,100%,0%))))))</f>
        <v>0.2</v>
      </c>
      <c r="K7" s="10">
        <f ca="1">COUNTIFS('HQ Fleet Attendance'!O:O,Summary!$F$2,'HQ Fleet Attendance'!E:E,Summary!A7)</f>
        <v>12</v>
      </c>
      <c r="L7" s="10">
        <f t="shared" ref="L7:L19" ca="1" si="2">RANK(K7,K7:K19)</f>
        <v>12</v>
      </c>
      <c r="N7" s="17" t="str">
        <f>A7</f>
        <v>abdulazeez_juwon</v>
      </c>
      <c r="O7" s="17" t="str">
        <f ca="1">IF(COUNTIFS('HQ Fleet Attendance'!$Q:$Q,Summary!$G$2-1,'HQ Fleet Attendance'!$E:$E,Summary!$A7,'HQ Fleet Attendance'!$N:$N,Summary!O$6)&gt;0,"Present","Absent")</f>
        <v>Present</v>
      </c>
      <c r="P7" s="17" t="str">
        <f ca="1">IF(COUNTIFS('HQ Fleet Attendance'!$Q:$Q,Summary!$G$2-1,'HQ Fleet Attendance'!$E:$E,Summary!$A7,'HQ Fleet Attendance'!$N:$N,Summary!P$6)&gt;0,"Present","Absent")</f>
        <v>Present</v>
      </c>
      <c r="Q7" s="17" t="str">
        <f ca="1">IF(COUNTIFS('HQ Fleet Attendance'!$Q:$Q,Summary!$G$2-1,'HQ Fleet Attendance'!$E:$E,Summary!$A7,'HQ Fleet Attendance'!$N:$N,Summary!Q$6)&gt;0,"Present","Absent")</f>
        <v>Absent</v>
      </c>
      <c r="R7" s="17" t="str">
        <f ca="1">IF(COUNTIFS('HQ Fleet Attendance'!$Q:$Q,Summary!$G$2-1,'HQ Fleet Attendance'!$E:$E,Summary!$A7,'HQ Fleet Attendance'!$N:$N,Summary!R$6)&gt;0,"Present","Absent")</f>
        <v>Present</v>
      </c>
      <c r="S7" s="17" t="str">
        <f ca="1">IF(COUNTIFS('HQ Fleet Attendance'!$Q:$Q,Summary!$G$2-1,'HQ Fleet Attendance'!$E:$E,Summary!$A7,'HQ Fleet Attendance'!$N:$N,Summary!S$6)&gt;0,"Present","Absent")</f>
        <v>Present</v>
      </c>
      <c r="T7" s="17" t="str">
        <f ca="1">IF(COUNTIFS('HQ Fleet Attendance'!$Q:$Q,Summary!$G$2-1,'HQ Fleet Attendance'!$E:$E,Summary!$A7,'HQ Fleet Attendance'!$N:$N,Summary!T$6)&gt;0,"Present","Absent")</f>
        <v>Absent</v>
      </c>
      <c r="U7" s="27">
        <f ca="1">IF(COUNTIF(O7:T7,"Present")=1,10%,IF(COUNTIF(O7:T7,"Present")=2,20%,IF(COUNTIF(O7:T7,"Present")=3,40%,IF(COUNTIF(O7:T7,"Present")=4,60%,IF(COUNTIF(O7:T7,"Present")=5,80%,IF(COUNTIF(O7:T7,"Present")=6,100%,0%))))))</f>
        <v>0.6</v>
      </c>
      <c r="V7" s="10">
        <f ca="1">COUNTIF(O7:T7,"Present")</f>
        <v>4</v>
      </c>
      <c r="W7" s="10">
        <f t="shared" ref="W7:W19" ca="1" si="3">RANK(V7,V7:V19)</f>
        <v>12</v>
      </c>
      <c r="Y7" s="17" t="str">
        <f t="shared" ref="Y7:Y19" si="4">N7</f>
        <v>abdulazeez_juwon</v>
      </c>
      <c r="Z7" s="17" t="str">
        <f ca="1">IF(COUNTIFS('HQ Fleet Attendance'!$O:$O,Summary!$F$2-1,'HQ Fleet Attendance'!$E:$E,Summary!$Y7,'HQ Fleet Attendance'!$N:$N,Summary!Z$6)&gt;0,"Present","Absent")</f>
        <v>Present</v>
      </c>
      <c r="AA7" s="17" t="str">
        <f ca="1">IF(COUNTIFS('HQ Fleet Attendance'!$O:$O,Summary!$F$2-1,'HQ Fleet Attendance'!$E:$E,Summary!$Y7,'HQ Fleet Attendance'!$N:$N,Summary!AA$6)&gt;0,"Present","Absent")</f>
        <v>Present</v>
      </c>
      <c r="AB7" s="17" t="str">
        <f ca="1">IF(COUNTIFS('HQ Fleet Attendance'!$O:$O,Summary!$F$2-1,'HQ Fleet Attendance'!$E:$E,Summary!$Y7,'HQ Fleet Attendance'!$N:$N,Summary!AB$6)&gt;0,"Present","Absent")</f>
        <v>Absent</v>
      </c>
      <c r="AC7" s="17" t="str">
        <f ca="1">IF(COUNTIFS('HQ Fleet Attendance'!$O:$O,Summary!$F$2-1,'HQ Fleet Attendance'!$E:$E,Summary!$Y7,'HQ Fleet Attendance'!$N:$N,Summary!AC$6)&gt;0,"Present","Absent")</f>
        <v>Present</v>
      </c>
      <c r="AD7" s="17" t="str">
        <f ca="1">IF(COUNTIFS('HQ Fleet Attendance'!$O:$O,Summary!$F$2-1,'HQ Fleet Attendance'!$E:$E,Summary!$Y7,'HQ Fleet Attendance'!$N:$N,Summary!AD$6)&gt;0,"Present","Absent")</f>
        <v>Present</v>
      </c>
      <c r="AE7" s="17" t="str">
        <f ca="1">IF(COUNTIFS('HQ Fleet Attendance'!$O:$O,Summary!$F$2-1,'HQ Fleet Attendance'!$E:$E,Summary!$Y7,'HQ Fleet Attendance'!$N:$N,Summary!AE$6)&gt;0,"Present","Absent")</f>
        <v>Absent</v>
      </c>
      <c r="AF7" s="27">
        <f ca="1">IF(COUNTIF(Z7:AE7,"Present")=1,10%,IF(COUNTIF(Z7:AE7,"Present")=2,20%,IF(COUNTIF(Z7:AE7,"Present")=3,40%,IF(COUNTIF(Z7:AE7,"Present")=4,60%,IF(COUNTIF(Z7:AE7,"Present")=5,80%,IF(COUNTIF(Z7:AE7,"Present")=6,100%,0%))))))</f>
        <v>0.6</v>
      </c>
      <c r="AG7" s="10">
        <f ca="1">COUNTIFS('HQ Fleet Attendance'!$O:$O,Summary!$F$2-1,'HQ Fleet Attendance'!$E:$E,Summary!$Y7)</f>
        <v>15</v>
      </c>
      <c r="AH7" s="10">
        <f t="shared" ref="AH7:AH19" ca="1" si="5">RANK(AG7,AG7:AG19)</f>
        <v>12</v>
      </c>
    </row>
    <row r="8" spans="1:34" ht="15" thickBot="1" x14ac:dyDescent="0.35">
      <c r="A8" s="17" t="s">
        <v>45</v>
      </c>
      <c r="B8" s="25">
        <f>_xlfn.MAXIFS(HQ_Fleet_Attendance[data-end_time],HQ_Fleet_Attendance[data-section1-staff],Summary!A8)</f>
        <v>44859.408333333333</v>
      </c>
      <c r="C8" s="26">
        <f>_xlfn.MAXIFS('HQ Fleet Attendance'!P:P,'HQ Fleet Attendance'!E:E,Summary!A8)</f>
        <v>44859</v>
      </c>
      <c r="D8" s="17" t="str">
        <f ca="1">IF(COUNTIFS('HQ Fleet Attendance'!Q:Q,Summary!$G$2,'HQ Fleet Attendance'!E:E,Summary!$A8,'HQ Fleet Attendance'!N:N,Summary!D$6)&gt;0,"Present","Absent")</f>
        <v>Present</v>
      </c>
      <c r="E8" s="17" t="str">
        <f ca="1">IF(COUNTIFS('HQ Fleet Attendance'!Q:Q,Summary!$G$2,'HQ Fleet Attendance'!E:E,Summary!$A8,'HQ Fleet Attendance'!N:N,Summary!E$6)&gt;0,"Present","Absent")</f>
        <v>Present</v>
      </c>
      <c r="F8" s="17" t="str">
        <f ca="1">IF(COUNTIFS('HQ Fleet Attendance'!Q:Q,Summary!$G$2,'HQ Fleet Attendance'!E:E,Summary!$A8,'HQ Fleet Attendance'!N:N,Summary!F$6)&gt;0,"Present","Absent")</f>
        <v>Absent</v>
      </c>
      <c r="G8" s="17" t="str">
        <f ca="1">IF(COUNTIFS('HQ Fleet Attendance'!Q:Q,Summary!$G$2,'HQ Fleet Attendance'!E:E,Summary!$A8,'HQ Fleet Attendance'!N:N,Summary!G$6)&gt;0,"Present","Absent")</f>
        <v>Absent</v>
      </c>
      <c r="H8" s="17" t="str">
        <f ca="1">IF(COUNTIFS('HQ Fleet Attendance'!Q:Q,Summary!$G$2,'HQ Fleet Attendance'!E:E,Summary!$A8,'HQ Fleet Attendance'!N:N,Summary!H$6)&gt;0,"Present","Absent")</f>
        <v>Absent</v>
      </c>
      <c r="I8" s="17" t="str">
        <f ca="1">IF(COUNTIFS('HQ Fleet Attendance'!Q:Q,Summary!$G$2,'HQ Fleet Attendance'!E:E,Summary!$A8,'HQ Fleet Attendance'!N:N,Summary!I$6)&gt;0,"Present","Absent")</f>
        <v>Absent</v>
      </c>
      <c r="J8" s="27">
        <f t="shared" ref="J8:J19" ca="1" si="6">IF(COUNTIF(D8:I8,"Present")=1,10%,IF(COUNTIF(D8:I8,"Present")=2,20%,IF(COUNTIF(D8:I8,"Present")=3,40%,IF(COUNTIF(D8:I8,"Present")=4,60%,IF(COUNTIF(D8:I8,"Present")=5,80%,IF(COUNTIF(D8:I8,"Present")=6,100%,0%))))))</f>
        <v>0.2</v>
      </c>
      <c r="K8" s="10">
        <f ca="1">COUNTIFS('HQ Fleet Attendance'!O:O,Summary!$F$2,'HQ Fleet Attendance'!E:E,Summary!A8)</f>
        <v>19</v>
      </c>
      <c r="L8" s="10">
        <f t="shared" ca="1" si="2"/>
        <v>1</v>
      </c>
      <c r="N8" s="17" t="str">
        <f t="shared" ref="N8:N19" si="7">A8</f>
        <v>ademola_akintayo</v>
      </c>
      <c r="O8" s="17" t="str">
        <f ca="1">IF(COUNTIFS('HQ Fleet Attendance'!$Q:$Q,Summary!$G$2-1,'HQ Fleet Attendance'!$E:$E,Summary!$A8,'HQ Fleet Attendance'!$N:$N,Summary!O$6)&gt;0,"Present","Absent")</f>
        <v>Present</v>
      </c>
      <c r="P8" s="17" t="str">
        <f ca="1">IF(COUNTIFS('HQ Fleet Attendance'!$Q:$Q,Summary!$G$2-1,'HQ Fleet Attendance'!$E:$E,Summary!$A8,'HQ Fleet Attendance'!$N:$N,Summary!P$6)&gt;0,"Present","Absent")</f>
        <v>Present</v>
      </c>
      <c r="Q8" s="17" t="str">
        <f ca="1">IF(COUNTIFS('HQ Fleet Attendance'!$Q:$Q,Summary!$G$2-1,'HQ Fleet Attendance'!$E:$E,Summary!$A8,'HQ Fleet Attendance'!$N:$N,Summary!Q$6)&gt;0,"Present","Absent")</f>
        <v>Present</v>
      </c>
      <c r="R8" s="17" t="str">
        <f ca="1">IF(COUNTIFS('HQ Fleet Attendance'!$Q:$Q,Summary!$G$2-1,'HQ Fleet Attendance'!$E:$E,Summary!$A8,'HQ Fleet Attendance'!$N:$N,Summary!R$6)&gt;0,"Present","Absent")</f>
        <v>Present</v>
      </c>
      <c r="S8" s="17" t="str">
        <f ca="1">IF(COUNTIFS('HQ Fleet Attendance'!$Q:$Q,Summary!$G$2-1,'HQ Fleet Attendance'!$E:$E,Summary!$A8,'HQ Fleet Attendance'!$N:$N,Summary!S$6)&gt;0,"Present","Absent")</f>
        <v>Present</v>
      </c>
      <c r="T8" s="17" t="str">
        <f ca="1">IF(COUNTIFS('HQ Fleet Attendance'!$Q:$Q,Summary!$G$2-1,'HQ Fleet Attendance'!$E:$E,Summary!$A8,'HQ Fleet Attendance'!$N:$N,Summary!T$6)&gt;0,"Present","Absent")</f>
        <v>Present</v>
      </c>
      <c r="U8" s="27">
        <f t="shared" ref="U8:U19" ca="1" si="8">IF(COUNTIF(O8:T8,"Present")=1,10%,IF(COUNTIF(O8:T8,"Present")=2,20%,IF(COUNTIF(O8:T8,"Present")=3,40%,IF(COUNTIF(O8:T8,"Present")=4,60%,IF(COUNTIF(O8:T8,"Present")=5,80%,IF(COUNTIF(O8:T8,"Present")=6,100%,0%))))))</f>
        <v>1</v>
      </c>
      <c r="V8" s="10">
        <f t="shared" ref="V8:V19" ca="1" si="9">COUNTIF(O8:T8,"Present")</f>
        <v>6</v>
      </c>
      <c r="W8" s="10">
        <f t="shared" ca="1" si="3"/>
        <v>1</v>
      </c>
      <c r="Y8" s="17" t="str">
        <f t="shared" si="4"/>
        <v>ademola_akintayo</v>
      </c>
      <c r="Z8" s="17" t="str">
        <f ca="1">IF(COUNTIFS('HQ Fleet Attendance'!$O:$O,Summary!$F$2-1,'HQ Fleet Attendance'!$E:$E,Summary!$Y8,'HQ Fleet Attendance'!$N:$N,Summary!Z$6)&gt;0,"Present","Absent")</f>
        <v>Present</v>
      </c>
      <c r="AA8" s="17" t="str">
        <f ca="1">IF(COUNTIFS('HQ Fleet Attendance'!$O:$O,Summary!$F$2-1,'HQ Fleet Attendance'!$E:$E,Summary!$Y8,'HQ Fleet Attendance'!$N:$N,Summary!AA$6)&gt;0,"Present","Absent")</f>
        <v>Present</v>
      </c>
      <c r="AB8" s="17" t="str">
        <f ca="1">IF(COUNTIFS('HQ Fleet Attendance'!$O:$O,Summary!$F$2-1,'HQ Fleet Attendance'!$E:$E,Summary!$Y8,'HQ Fleet Attendance'!$N:$N,Summary!AB$6)&gt;0,"Present","Absent")</f>
        <v>Present</v>
      </c>
      <c r="AC8" s="17" t="str">
        <f ca="1">IF(COUNTIFS('HQ Fleet Attendance'!$O:$O,Summary!$F$2-1,'HQ Fleet Attendance'!$E:$E,Summary!$Y8,'HQ Fleet Attendance'!$N:$N,Summary!AC$6)&gt;0,"Present","Absent")</f>
        <v>Present</v>
      </c>
      <c r="AD8" s="17" t="str">
        <f ca="1">IF(COUNTIFS('HQ Fleet Attendance'!$O:$O,Summary!$F$2-1,'HQ Fleet Attendance'!$E:$E,Summary!$Y8,'HQ Fleet Attendance'!$N:$N,Summary!AD$6)&gt;0,"Present","Absent")</f>
        <v>Present</v>
      </c>
      <c r="AE8" s="17" t="str">
        <f ca="1">IF(COUNTIFS('HQ Fleet Attendance'!$O:$O,Summary!$F$2-1,'HQ Fleet Attendance'!$E:$E,Summary!$Y8,'HQ Fleet Attendance'!$N:$N,Summary!AE$6)&gt;0,"Present","Absent")</f>
        <v>Present</v>
      </c>
      <c r="AF8" s="27">
        <f t="shared" ref="AF8:AF19" ca="1" si="10">IF(COUNTIF(Z8:AE8,"Present")=1,10%,IF(COUNTIF(Z8:AE8,"Present")=2,20%,IF(COUNTIF(Z8:AE8,"Present")=3,40%,IF(COUNTIF(Z8:AE8,"Present")=4,60%,IF(COUNTIF(Z8:AE8,"Present")=5,80%,IF(COUNTIF(Z8:AE8,"Present")=6,100%,0%))))))</f>
        <v>1</v>
      </c>
      <c r="AG8" s="10">
        <f ca="1">COUNTIFS('HQ Fleet Attendance'!$O:$O,Summary!$F$2-1,'HQ Fleet Attendance'!$E:$E,Summary!$Y8)</f>
        <v>25</v>
      </c>
      <c r="AH8" s="10">
        <f t="shared" ca="1" si="5"/>
        <v>2</v>
      </c>
    </row>
    <row r="9" spans="1:34" ht="15" thickBot="1" x14ac:dyDescent="0.35">
      <c r="A9" s="17" t="s">
        <v>27</v>
      </c>
      <c r="B9" s="25">
        <f>_xlfn.MAXIFS(HQ_Fleet_Attendance[data-end_time],HQ_Fleet_Attendance[data-section1-staff],Summary!A9)</f>
        <v>44859.407638888886</v>
      </c>
      <c r="C9" s="26">
        <f>_xlfn.MAXIFS('HQ Fleet Attendance'!P:P,'HQ Fleet Attendance'!E:E,Summary!A9)</f>
        <v>44859</v>
      </c>
      <c r="D9" s="17" t="str">
        <f ca="1">IF(COUNTIFS('HQ Fleet Attendance'!Q:Q,Summary!$G$2,'HQ Fleet Attendance'!E:E,Summary!$A9,'HQ Fleet Attendance'!N:N,Summary!D$6)&gt;0,"Present","Absent")</f>
        <v>Present</v>
      </c>
      <c r="E9" s="17" t="str">
        <f ca="1">IF(COUNTIFS('HQ Fleet Attendance'!Q:Q,Summary!$G$2,'HQ Fleet Attendance'!E:E,Summary!$A9,'HQ Fleet Attendance'!N:N,Summary!E$6)&gt;0,"Present","Absent")</f>
        <v>Present</v>
      </c>
      <c r="F9" s="17" t="str">
        <f ca="1">IF(COUNTIFS('HQ Fleet Attendance'!Q:Q,Summary!$G$2,'HQ Fleet Attendance'!E:E,Summary!$A9,'HQ Fleet Attendance'!N:N,Summary!F$6)&gt;0,"Present","Absent")</f>
        <v>Absent</v>
      </c>
      <c r="G9" s="17" t="str">
        <f ca="1">IF(COUNTIFS('HQ Fleet Attendance'!Q:Q,Summary!$G$2,'HQ Fleet Attendance'!E:E,Summary!$A9,'HQ Fleet Attendance'!N:N,Summary!G$6)&gt;0,"Present","Absent")</f>
        <v>Absent</v>
      </c>
      <c r="H9" s="17" t="str">
        <f ca="1">IF(COUNTIFS('HQ Fleet Attendance'!Q:Q,Summary!$G$2,'HQ Fleet Attendance'!E:E,Summary!$A9,'HQ Fleet Attendance'!N:N,Summary!H$6)&gt;0,"Present","Absent")</f>
        <v>Absent</v>
      </c>
      <c r="I9" s="17" t="str">
        <f ca="1">IF(COUNTIFS('HQ Fleet Attendance'!Q:Q,Summary!$G$2,'HQ Fleet Attendance'!E:E,Summary!$A9,'HQ Fleet Attendance'!N:N,Summary!I$6)&gt;0,"Present","Absent")</f>
        <v>Absent</v>
      </c>
      <c r="J9" s="27">
        <f t="shared" ca="1" si="6"/>
        <v>0.2</v>
      </c>
      <c r="K9" s="10">
        <f ca="1">COUNTIFS('HQ Fleet Attendance'!O:O,Summary!$F$2,'HQ Fleet Attendance'!E:E,Summary!A9)</f>
        <v>19</v>
      </c>
      <c r="L9" s="10">
        <f t="shared" ca="1" si="2"/>
        <v>1</v>
      </c>
      <c r="N9" s="17" t="str">
        <f t="shared" si="7"/>
        <v>ayo_bamidele</v>
      </c>
      <c r="O9" s="17" t="str">
        <f ca="1">IF(COUNTIFS('HQ Fleet Attendance'!$Q:$Q,Summary!$G$2-1,'HQ Fleet Attendance'!$E:$E,Summary!$A9,'HQ Fleet Attendance'!$N:$N,Summary!O$6)&gt;0,"Present","Absent")</f>
        <v>Present</v>
      </c>
      <c r="P9" s="17" t="str">
        <f ca="1">IF(COUNTIFS('HQ Fleet Attendance'!$Q:$Q,Summary!$G$2-1,'HQ Fleet Attendance'!$E:$E,Summary!$A9,'HQ Fleet Attendance'!$N:$N,Summary!P$6)&gt;0,"Present","Absent")</f>
        <v>Present</v>
      </c>
      <c r="Q9" s="17" t="str">
        <f ca="1">IF(COUNTIFS('HQ Fleet Attendance'!$Q:$Q,Summary!$G$2-1,'HQ Fleet Attendance'!$E:$E,Summary!$A9,'HQ Fleet Attendance'!$N:$N,Summary!Q$6)&gt;0,"Present","Absent")</f>
        <v>Present</v>
      </c>
      <c r="R9" s="17" t="str">
        <f ca="1">IF(COUNTIFS('HQ Fleet Attendance'!$Q:$Q,Summary!$G$2-1,'HQ Fleet Attendance'!$E:$E,Summary!$A9,'HQ Fleet Attendance'!$N:$N,Summary!R$6)&gt;0,"Present","Absent")</f>
        <v>Present</v>
      </c>
      <c r="S9" s="17" t="str">
        <f ca="1">IF(COUNTIFS('HQ Fleet Attendance'!$Q:$Q,Summary!$G$2-1,'HQ Fleet Attendance'!$E:$E,Summary!$A9,'HQ Fleet Attendance'!$N:$N,Summary!S$6)&gt;0,"Present","Absent")</f>
        <v>Present</v>
      </c>
      <c r="T9" s="17" t="str">
        <f ca="1">IF(COUNTIFS('HQ Fleet Attendance'!$Q:$Q,Summary!$G$2-1,'HQ Fleet Attendance'!$E:$E,Summary!$A9,'HQ Fleet Attendance'!$N:$N,Summary!T$6)&gt;0,"Present","Absent")</f>
        <v>Present</v>
      </c>
      <c r="U9" s="27">
        <f t="shared" ca="1" si="8"/>
        <v>1</v>
      </c>
      <c r="V9" s="10">
        <f t="shared" ca="1" si="9"/>
        <v>6</v>
      </c>
      <c r="W9" s="10">
        <f t="shared" ca="1" si="3"/>
        <v>1</v>
      </c>
      <c r="Y9" s="17" t="str">
        <f t="shared" si="4"/>
        <v>ayo_bamidele</v>
      </c>
      <c r="Z9" s="17" t="str">
        <f ca="1">IF(COUNTIFS('HQ Fleet Attendance'!$O:$O,Summary!$F$2-1,'HQ Fleet Attendance'!$E:$E,Summary!$Y9,'HQ Fleet Attendance'!$N:$N,Summary!Z$6)&gt;0,"Present","Absent")</f>
        <v>Present</v>
      </c>
      <c r="AA9" s="17" t="str">
        <f ca="1">IF(COUNTIFS('HQ Fleet Attendance'!$O:$O,Summary!$F$2-1,'HQ Fleet Attendance'!$E:$E,Summary!$Y9,'HQ Fleet Attendance'!$N:$N,Summary!AA$6)&gt;0,"Present","Absent")</f>
        <v>Present</v>
      </c>
      <c r="AB9" s="17" t="str">
        <f ca="1">IF(COUNTIFS('HQ Fleet Attendance'!$O:$O,Summary!$F$2-1,'HQ Fleet Attendance'!$E:$E,Summary!$Y9,'HQ Fleet Attendance'!$N:$N,Summary!AB$6)&gt;0,"Present","Absent")</f>
        <v>Present</v>
      </c>
      <c r="AC9" s="17" t="str">
        <f ca="1">IF(COUNTIFS('HQ Fleet Attendance'!$O:$O,Summary!$F$2-1,'HQ Fleet Attendance'!$E:$E,Summary!$Y9,'HQ Fleet Attendance'!$N:$N,Summary!AC$6)&gt;0,"Present","Absent")</f>
        <v>Present</v>
      </c>
      <c r="AD9" s="17" t="str">
        <f ca="1">IF(COUNTIFS('HQ Fleet Attendance'!$O:$O,Summary!$F$2-1,'HQ Fleet Attendance'!$E:$E,Summary!$Y9,'HQ Fleet Attendance'!$N:$N,Summary!AD$6)&gt;0,"Present","Absent")</f>
        <v>Present</v>
      </c>
      <c r="AE9" s="17" t="str">
        <f ca="1">IF(COUNTIFS('HQ Fleet Attendance'!$O:$O,Summary!$F$2-1,'HQ Fleet Attendance'!$E:$E,Summary!$Y9,'HQ Fleet Attendance'!$N:$N,Summary!AE$6)&gt;0,"Present","Absent")</f>
        <v>Present</v>
      </c>
      <c r="AF9" s="27">
        <f t="shared" ca="1" si="10"/>
        <v>1</v>
      </c>
      <c r="AG9" s="10">
        <f ca="1">COUNTIFS('HQ Fleet Attendance'!$O:$O,Summary!$F$2-1,'HQ Fleet Attendance'!$E:$E,Summary!$Y9)</f>
        <v>22</v>
      </c>
      <c r="AH9" s="10">
        <f t="shared" ca="1" si="5"/>
        <v>7</v>
      </c>
    </row>
    <row r="10" spans="1:34" ht="15" thickBot="1" x14ac:dyDescent="0.35">
      <c r="A10" s="17" t="s">
        <v>56</v>
      </c>
      <c r="B10" s="25">
        <f>_xlfn.MAXIFS(HQ_Fleet_Attendance[data-end_time],HQ_Fleet_Attendance[data-section1-staff],Summary!A10)</f>
        <v>44859.408333333333</v>
      </c>
      <c r="C10" s="26">
        <f>_xlfn.MAXIFS('HQ Fleet Attendance'!P:P,'HQ Fleet Attendance'!E:E,Summary!A10)</f>
        <v>44859</v>
      </c>
      <c r="D10" s="17" t="str">
        <f ca="1">IF(COUNTIFS('HQ Fleet Attendance'!Q:Q,Summary!$G$2,'HQ Fleet Attendance'!E:E,Summary!$A10,'HQ Fleet Attendance'!N:N,Summary!D$6)&gt;0,"Present","Absent")</f>
        <v>Present</v>
      </c>
      <c r="E10" s="17" t="str">
        <f ca="1">IF(COUNTIFS('HQ Fleet Attendance'!Q:Q,Summary!$G$2,'HQ Fleet Attendance'!E:E,Summary!$A10,'HQ Fleet Attendance'!N:N,Summary!E$6)&gt;0,"Present","Absent")</f>
        <v>Present</v>
      </c>
      <c r="F10" s="17" t="str">
        <f ca="1">IF(COUNTIFS('HQ Fleet Attendance'!Q:Q,Summary!$G$2,'HQ Fleet Attendance'!E:E,Summary!$A10,'HQ Fleet Attendance'!N:N,Summary!F$6)&gt;0,"Present","Absent")</f>
        <v>Absent</v>
      </c>
      <c r="G10" s="17" t="str">
        <f ca="1">IF(COUNTIFS('HQ Fleet Attendance'!Q:Q,Summary!$G$2,'HQ Fleet Attendance'!E:E,Summary!$A10,'HQ Fleet Attendance'!N:N,Summary!G$6)&gt;0,"Present","Absent")</f>
        <v>Absent</v>
      </c>
      <c r="H10" s="17" t="str">
        <f ca="1">IF(COUNTIFS('HQ Fleet Attendance'!Q:Q,Summary!$G$2,'HQ Fleet Attendance'!E:E,Summary!$A10,'HQ Fleet Attendance'!N:N,Summary!H$6)&gt;0,"Present","Absent")</f>
        <v>Absent</v>
      </c>
      <c r="I10" s="17" t="str">
        <f ca="1">IF(COUNTIFS('HQ Fleet Attendance'!Q:Q,Summary!$G$2,'HQ Fleet Attendance'!E:E,Summary!$A10,'HQ Fleet Attendance'!N:N,Summary!I$6)&gt;0,"Present","Absent")</f>
        <v>Absent</v>
      </c>
      <c r="J10" s="27">
        <f t="shared" ca="1" si="6"/>
        <v>0.2</v>
      </c>
      <c r="K10" s="10">
        <f ca="1">COUNTIFS('HQ Fleet Attendance'!O:O,Summary!$F$2,'HQ Fleet Attendance'!E:E,Summary!A10)</f>
        <v>16</v>
      </c>
      <c r="L10" s="10">
        <f t="shared" ca="1" si="2"/>
        <v>6</v>
      </c>
      <c r="N10" s="17" t="str">
        <f t="shared" si="7"/>
        <v>babatunde_afeez</v>
      </c>
      <c r="O10" s="17" t="str">
        <f ca="1">IF(COUNTIFS('HQ Fleet Attendance'!$Q:$Q,Summary!$G$2-1,'HQ Fleet Attendance'!$E:$E,Summary!$A10,'HQ Fleet Attendance'!$N:$N,Summary!O$6)&gt;0,"Present","Absent")</f>
        <v>Present</v>
      </c>
      <c r="P10" s="17" t="str">
        <f ca="1">IF(COUNTIFS('HQ Fleet Attendance'!$Q:$Q,Summary!$G$2-1,'HQ Fleet Attendance'!$E:$E,Summary!$A10,'HQ Fleet Attendance'!$N:$N,Summary!P$6)&gt;0,"Present","Absent")</f>
        <v>Present</v>
      </c>
      <c r="Q10" s="17" t="str">
        <f ca="1">IF(COUNTIFS('HQ Fleet Attendance'!$Q:$Q,Summary!$G$2-1,'HQ Fleet Attendance'!$E:$E,Summary!$A10,'HQ Fleet Attendance'!$N:$N,Summary!Q$6)&gt;0,"Present","Absent")</f>
        <v>Present</v>
      </c>
      <c r="R10" s="17" t="str">
        <f ca="1">IF(COUNTIFS('HQ Fleet Attendance'!$Q:$Q,Summary!$G$2-1,'HQ Fleet Attendance'!$E:$E,Summary!$A10,'HQ Fleet Attendance'!$N:$N,Summary!R$6)&gt;0,"Present","Absent")</f>
        <v>Present</v>
      </c>
      <c r="S10" s="17" t="str">
        <f ca="1">IF(COUNTIFS('HQ Fleet Attendance'!$Q:$Q,Summary!$G$2-1,'HQ Fleet Attendance'!$E:$E,Summary!$A10,'HQ Fleet Attendance'!$N:$N,Summary!S$6)&gt;0,"Present","Absent")</f>
        <v>Present</v>
      </c>
      <c r="T10" s="17" t="str">
        <f ca="1">IF(COUNTIFS('HQ Fleet Attendance'!$Q:$Q,Summary!$G$2-1,'HQ Fleet Attendance'!$E:$E,Summary!$A10,'HQ Fleet Attendance'!$N:$N,Summary!T$6)&gt;0,"Present","Absent")</f>
        <v>Absent</v>
      </c>
      <c r="U10" s="27">
        <f t="shared" ca="1" si="8"/>
        <v>0.8</v>
      </c>
      <c r="V10" s="10">
        <f t="shared" ca="1" si="9"/>
        <v>5</v>
      </c>
      <c r="W10" s="10">
        <f t="shared" ca="1" si="3"/>
        <v>8</v>
      </c>
      <c r="Y10" s="17" t="str">
        <f t="shared" si="4"/>
        <v>babatunde_afeez</v>
      </c>
      <c r="Z10" s="17" t="str">
        <f ca="1">IF(COUNTIFS('HQ Fleet Attendance'!$O:$O,Summary!$F$2-1,'HQ Fleet Attendance'!$E:$E,Summary!$Y10,'HQ Fleet Attendance'!$N:$N,Summary!Z$6)&gt;0,"Present","Absent")</f>
        <v>Present</v>
      </c>
      <c r="AA10" s="17" t="str">
        <f ca="1">IF(COUNTIFS('HQ Fleet Attendance'!$O:$O,Summary!$F$2-1,'HQ Fleet Attendance'!$E:$E,Summary!$Y10,'HQ Fleet Attendance'!$N:$N,Summary!AA$6)&gt;0,"Present","Absent")</f>
        <v>Present</v>
      </c>
      <c r="AB10" s="17" t="str">
        <f ca="1">IF(COUNTIFS('HQ Fleet Attendance'!$O:$O,Summary!$F$2-1,'HQ Fleet Attendance'!$E:$E,Summary!$Y10,'HQ Fleet Attendance'!$N:$N,Summary!AB$6)&gt;0,"Present","Absent")</f>
        <v>Present</v>
      </c>
      <c r="AC10" s="17" t="str">
        <f ca="1">IF(COUNTIFS('HQ Fleet Attendance'!$O:$O,Summary!$F$2-1,'HQ Fleet Attendance'!$E:$E,Summary!$Y10,'HQ Fleet Attendance'!$N:$N,Summary!AC$6)&gt;0,"Present","Absent")</f>
        <v>Present</v>
      </c>
      <c r="AD10" s="17" t="str">
        <f ca="1">IF(COUNTIFS('HQ Fleet Attendance'!$O:$O,Summary!$F$2-1,'HQ Fleet Attendance'!$E:$E,Summary!$Y10,'HQ Fleet Attendance'!$N:$N,Summary!AD$6)&gt;0,"Present","Absent")</f>
        <v>Present</v>
      </c>
      <c r="AE10" s="17" t="str">
        <f ca="1">IF(COUNTIFS('HQ Fleet Attendance'!$O:$O,Summary!$F$2-1,'HQ Fleet Attendance'!$E:$E,Summary!$Y10,'HQ Fleet Attendance'!$N:$N,Summary!AE$6)&gt;0,"Present","Absent")</f>
        <v>Present</v>
      </c>
      <c r="AF10" s="27">
        <f t="shared" ca="1" si="10"/>
        <v>1</v>
      </c>
      <c r="AG10" s="10">
        <f ca="1">COUNTIFS('HQ Fleet Attendance'!$O:$O,Summary!$F$2-1,'HQ Fleet Attendance'!$E:$E,Summary!$Y10)</f>
        <v>18</v>
      </c>
      <c r="AH10" s="10">
        <f t="shared" ca="1" si="5"/>
        <v>9</v>
      </c>
    </row>
    <row r="11" spans="1:34" ht="15" thickBot="1" x14ac:dyDescent="0.35">
      <c r="A11" s="17" t="s">
        <v>54</v>
      </c>
      <c r="B11" s="25">
        <f>_xlfn.MAXIFS(HQ_Fleet_Attendance[data-end_time],HQ_Fleet_Attendance[data-section1-staff],Summary!A11)</f>
        <v>44859.408333333333</v>
      </c>
      <c r="C11" s="26">
        <f>_xlfn.MAXIFS('HQ Fleet Attendance'!P:P,'HQ Fleet Attendance'!E:E,Summary!A11)</f>
        <v>44859</v>
      </c>
      <c r="D11" s="17" t="str">
        <f ca="1">IF(COUNTIFS('HQ Fleet Attendance'!Q:Q,Summary!$G$2,'HQ Fleet Attendance'!E:E,Summary!$A11,'HQ Fleet Attendance'!N:N,Summary!D$6)&gt;0,"Present","Absent")</f>
        <v>Present</v>
      </c>
      <c r="E11" s="17" t="str">
        <f ca="1">IF(COUNTIFS('HQ Fleet Attendance'!Q:Q,Summary!$G$2,'HQ Fleet Attendance'!E:E,Summary!$A11,'HQ Fleet Attendance'!N:N,Summary!E$6)&gt;0,"Present","Absent")</f>
        <v>Present</v>
      </c>
      <c r="F11" s="17" t="str">
        <f ca="1">IF(COUNTIFS('HQ Fleet Attendance'!Q:Q,Summary!$G$2,'HQ Fleet Attendance'!E:E,Summary!$A11,'HQ Fleet Attendance'!N:N,Summary!F$6)&gt;0,"Present","Absent")</f>
        <v>Absent</v>
      </c>
      <c r="G11" s="17" t="str">
        <f ca="1">IF(COUNTIFS('HQ Fleet Attendance'!Q:Q,Summary!$G$2,'HQ Fleet Attendance'!E:E,Summary!$A11,'HQ Fleet Attendance'!N:N,Summary!G$6)&gt;0,"Present","Absent")</f>
        <v>Absent</v>
      </c>
      <c r="H11" s="17" t="str">
        <f ca="1">IF(COUNTIFS('HQ Fleet Attendance'!Q:Q,Summary!$G$2,'HQ Fleet Attendance'!E:E,Summary!$A11,'HQ Fleet Attendance'!N:N,Summary!H$6)&gt;0,"Present","Absent")</f>
        <v>Absent</v>
      </c>
      <c r="I11" s="17" t="str">
        <f ca="1">IF(COUNTIFS('HQ Fleet Attendance'!Q:Q,Summary!$G$2,'HQ Fleet Attendance'!E:E,Summary!$A11,'HQ Fleet Attendance'!N:N,Summary!I$6)&gt;0,"Present","Absent")</f>
        <v>Absent</v>
      </c>
      <c r="J11" s="27">
        <f t="shared" ca="1" si="6"/>
        <v>0.2</v>
      </c>
      <c r="K11" s="10">
        <f ca="1">COUNTIFS('HQ Fleet Attendance'!O:O,Summary!$F$2,'HQ Fleet Attendance'!E:E,Summary!A11)</f>
        <v>15</v>
      </c>
      <c r="L11" s="10">
        <f t="shared" ca="1" si="2"/>
        <v>6</v>
      </c>
      <c r="N11" s="17" t="str">
        <f t="shared" si="7"/>
        <v>chibuzo_nwankwo</v>
      </c>
      <c r="O11" s="17" t="str">
        <f ca="1">IF(COUNTIFS('HQ Fleet Attendance'!$Q:$Q,Summary!$G$2-1,'HQ Fleet Attendance'!$E:$E,Summary!$A11,'HQ Fleet Attendance'!$N:$N,Summary!O$6)&gt;0,"Present","Absent")</f>
        <v>Present</v>
      </c>
      <c r="P11" s="17" t="str">
        <f ca="1">IF(COUNTIFS('HQ Fleet Attendance'!$Q:$Q,Summary!$G$2-1,'HQ Fleet Attendance'!$E:$E,Summary!$A11,'HQ Fleet Attendance'!$N:$N,Summary!P$6)&gt;0,"Present","Absent")</f>
        <v>Present</v>
      </c>
      <c r="Q11" s="17" t="str">
        <f ca="1">IF(COUNTIFS('HQ Fleet Attendance'!$Q:$Q,Summary!$G$2-1,'HQ Fleet Attendance'!$E:$E,Summary!$A11,'HQ Fleet Attendance'!$N:$N,Summary!Q$6)&gt;0,"Present","Absent")</f>
        <v>Present</v>
      </c>
      <c r="R11" s="17" t="str">
        <f ca="1">IF(COUNTIFS('HQ Fleet Attendance'!$Q:$Q,Summary!$G$2-1,'HQ Fleet Attendance'!$E:$E,Summary!$A11,'HQ Fleet Attendance'!$N:$N,Summary!R$6)&gt;0,"Present","Absent")</f>
        <v>Present</v>
      </c>
      <c r="S11" s="17" t="str">
        <f ca="1">IF(COUNTIFS('HQ Fleet Attendance'!$Q:$Q,Summary!$G$2-1,'HQ Fleet Attendance'!$E:$E,Summary!$A11,'HQ Fleet Attendance'!$N:$N,Summary!S$6)&gt;0,"Present","Absent")</f>
        <v>Present</v>
      </c>
      <c r="T11" s="17" t="str">
        <f ca="1">IF(COUNTIFS('HQ Fleet Attendance'!$Q:$Q,Summary!$G$2-1,'HQ Fleet Attendance'!$E:$E,Summary!$A11,'HQ Fleet Attendance'!$N:$N,Summary!T$6)&gt;0,"Present","Absent")</f>
        <v>Present</v>
      </c>
      <c r="U11" s="27">
        <f t="shared" ca="1" si="8"/>
        <v>1</v>
      </c>
      <c r="V11" s="10">
        <f t="shared" ca="1" si="9"/>
        <v>6</v>
      </c>
      <c r="W11" s="10">
        <f t="shared" ca="1" si="3"/>
        <v>1</v>
      </c>
      <c r="Y11" s="17" t="str">
        <f t="shared" si="4"/>
        <v>chibuzo_nwankwo</v>
      </c>
      <c r="Z11" s="17" t="str">
        <f ca="1">IF(COUNTIFS('HQ Fleet Attendance'!$O:$O,Summary!$F$2-1,'HQ Fleet Attendance'!$E:$E,Summary!$Y11,'HQ Fleet Attendance'!$N:$N,Summary!Z$6)&gt;0,"Present","Absent")</f>
        <v>Present</v>
      </c>
      <c r="AA11" s="17" t="str">
        <f ca="1">IF(COUNTIFS('HQ Fleet Attendance'!$O:$O,Summary!$F$2-1,'HQ Fleet Attendance'!$E:$E,Summary!$Y11,'HQ Fleet Attendance'!$N:$N,Summary!AA$6)&gt;0,"Present","Absent")</f>
        <v>Present</v>
      </c>
      <c r="AB11" s="17" t="str">
        <f ca="1">IF(COUNTIFS('HQ Fleet Attendance'!$O:$O,Summary!$F$2-1,'HQ Fleet Attendance'!$E:$E,Summary!$Y11,'HQ Fleet Attendance'!$N:$N,Summary!AB$6)&gt;0,"Present","Absent")</f>
        <v>Present</v>
      </c>
      <c r="AC11" s="17" t="str">
        <f ca="1">IF(COUNTIFS('HQ Fleet Attendance'!$O:$O,Summary!$F$2-1,'HQ Fleet Attendance'!$E:$E,Summary!$Y11,'HQ Fleet Attendance'!$N:$N,Summary!AC$6)&gt;0,"Present","Absent")</f>
        <v>Present</v>
      </c>
      <c r="AD11" s="17" t="str">
        <f ca="1">IF(COUNTIFS('HQ Fleet Attendance'!$O:$O,Summary!$F$2-1,'HQ Fleet Attendance'!$E:$E,Summary!$Y11,'HQ Fleet Attendance'!$N:$N,Summary!AD$6)&gt;0,"Present","Absent")</f>
        <v>Present</v>
      </c>
      <c r="AE11" s="17" t="str">
        <f ca="1">IF(COUNTIFS('HQ Fleet Attendance'!$O:$O,Summary!$F$2-1,'HQ Fleet Attendance'!$E:$E,Summary!$Y11,'HQ Fleet Attendance'!$N:$N,Summary!AE$6)&gt;0,"Present","Absent")</f>
        <v>Present</v>
      </c>
      <c r="AF11" s="27">
        <f t="shared" ca="1" si="10"/>
        <v>1</v>
      </c>
      <c r="AG11" s="10">
        <f ca="1">COUNTIFS('HQ Fleet Attendance'!$O:$O,Summary!$F$2-1,'HQ Fleet Attendance'!$E:$E,Summary!$Y11)</f>
        <v>24</v>
      </c>
      <c r="AH11" s="10">
        <f t="shared" ca="1" si="5"/>
        <v>4</v>
      </c>
    </row>
    <row r="12" spans="1:34" ht="15" thickBot="1" x14ac:dyDescent="0.35">
      <c r="A12" s="17" t="s">
        <v>39</v>
      </c>
      <c r="B12" s="25">
        <f>_xlfn.MAXIFS(HQ_Fleet_Attendance[data-end_time],HQ_Fleet_Attendance[data-section1-staff],Summary!A12)</f>
        <v>44859.408333333333</v>
      </c>
      <c r="C12" s="26">
        <f>_xlfn.MAXIFS('HQ Fleet Attendance'!P:P,'HQ Fleet Attendance'!E:E,Summary!A12)</f>
        <v>44859</v>
      </c>
      <c r="D12" s="17" t="str">
        <f ca="1">IF(COUNTIFS('HQ Fleet Attendance'!Q:Q,Summary!$G$2,'HQ Fleet Attendance'!E:E,Summary!$A12,'HQ Fleet Attendance'!N:N,Summary!D$6)&gt;0,"Present","Absent")</f>
        <v>Present</v>
      </c>
      <c r="E12" s="17" t="str">
        <f ca="1">IF(COUNTIFS('HQ Fleet Attendance'!Q:Q,Summary!$G$2,'HQ Fleet Attendance'!E:E,Summary!$A12,'HQ Fleet Attendance'!N:N,Summary!E$6)&gt;0,"Present","Absent")</f>
        <v>Present</v>
      </c>
      <c r="F12" s="17" t="str">
        <f ca="1">IF(COUNTIFS('HQ Fleet Attendance'!Q:Q,Summary!$G$2,'HQ Fleet Attendance'!E:E,Summary!$A12,'HQ Fleet Attendance'!N:N,Summary!F$6)&gt;0,"Present","Absent")</f>
        <v>Absent</v>
      </c>
      <c r="G12" s="17" t="str">
        <f ca="1">IF(COUNTIFS('HQ Fleet Attendance'!Q:Q,Summary!$G$2,'HQ Fleet Attendance'!E:E,Summary!$A12,'HQ Fleet Attendance'!N:N,Summary!G$6)&gt;0,"Present","Absent")</f>
        <v>Absent</v>
      </c>
      <c r="H12" s="17" t="str">
        <f ca="1">IF(COUNTIFS('HQ Fleet Attendance'!Q:Q,Summary!$G$2,'HQ Fleet Attendance'!E:E,Summary!$A12,'HQ Fleet Attendance'!N:N,Summary!H$6)&gt;0,"Present","Absent")</f>
        <v>Absent</v>
      </c>
      <c r="I12" s="17" t="str">
        <f ca="1">IF(COUNTIFS('HQ Fleet Attendance'!Q:Q,Summary!$G$2,'HQ Fleet Attendance'!E:E,Summary!$A12,'HQ Fleet Attendance'!N:N,Summary!I$6)&gt;0,"Present","Absent")</f>
        <v>Absent</v>
      </c>
      <c r="J12" s="27">
        <f t="shared" ca="1" si="6"/>
        <v>0.2</v>
      </c>
      <c r="K12" s="10">
        <f ca="1">COUNTIFS('HQ Fleet Attendance'!O:O,Summary!$F$2,'HQ Fleet Attendance'!E:E,Summary!A12)</f>
        <v>19</v>
      </c>
      <c r="L12" s="10">
        <f t="shared" ca="1" si="2"/>
        <v>1</v>
      </c>
      <c r="N12" s="17" t="str">
        <f t="shared" si="7"/>
        <v>david_jimba</v>
      </c>
      <c r="O12" s="17" t="str">
        <f ca="1">IF(COUNTIFS('HQ Fleet Attendance'!$Q:$Q,Summary!$G$2-1,'HQ Fleet Attendance'!$E:$E,Summary!$A12,'HQ Fleet Attendance'!$N:$N,Summary!O$6)&gt;0,"Present","Absent")</f>
        <v>Present</v>
      </c>
      <c r="P12" s="17" t="str">
        <f ca="1">IF(COUNTIFS('HQ Fleet Attendance'!$Q:$Q,Summary!$G$2-1,'HQ Fleet Attendance'!$E:$E,Summary!$A12,'HQ Fleet Attendance'!$N:$N,Summary!P$6)&gt;0,"Present","Absent")</f>
        <v>Present</v>
      </c>
      <c r="Q12" s="17" t="str">
        <f ca="1">IF(COUNTIFS('HQ Fleet Attendance'!$Q:$Q,Summary!$G$2-1,'HQ Fleet Attendance'!$E:$E,Summary!$A12,'HQ Fleet Attendance'!$N:$N,Summary!Q$6)&gt;0,"Present","Absent")</f>
        <v>Present</v>
      </c>
      <c r="R12" s="17" t="str">
        <f ca="1">IF(COUNTIFS('HQ Fleet Attendance'!$Q:$Q,Summary!$G$2-1,'HQ Fleet Attendance'!$E:$E,Summary!$A12,'HQ Fleet Attendance'!$N:$N,Summary!R$6)&gt;0,"Present","Absent")</f>
        <v>Present</v>
      </c>
      <c r="S12" s="17" t="str">
        <f ca="1">IF(COUNTIFS('HQ Fleet Attendance'!$Q:$Q,Summary!$G$2-1,'HQ Fleet Attendance'!$E:$E,Summary!$A12,'HQ Fleet Attendance'!$N:$N,Summary!S$6)&gt;0,"Present","Absent")</f>
        <v>Present</v>
      </c>
      <c r="T12" s="17" t="str">
        <f ca="1">IF(COUNTIFS('HQ Fleet Attendance'!$Q:$Q,Summary!$G$2-1,'HQ Fleet Attendance'!$E:$E,Summary!$A12,'HQ Fleet Attendance'!$N:$N,Summary!T$6)&gt;0,"Present","Absent")</f>
        <v>Present</v>
      </c>
      <c r="U12" s="27">
        <f t="shared" ca="1" si="8"/>
        <v>1</v>
      </c>
      <c r="V12" s="10">
        <f t="shared" ca="1" si="9"/>
        <v>6</v>
      </c>
      <c r="W12" s="10">
        <f t="shared" ca="1" si="3"/>
        <v>1</v>
      </c>
      <c r="Y12" s="17" t="str">
        <f t="shared" si="4"/>
        <v>david_jimba</v>
      </c>
      <c r="Z12" s="17" t="str">
        <f ca="1">IF(COUNTIFS('HQ Fleet Attendance'!$O:$O,Summary!$F$2-1,'HQ Fleet Attendance'!$E:$E,Summary!$Y12,'HQ Fleet Attendance'!$N:$N,Summary!Z$6)&gt;0,"Present","Absent")</f>
        <v>Present</v>
      </c>
      <c r="AA12" s="17" t="str">
        <f ca="1">IF(COUNTIFS('HQ Fleet Attendance'!$O:$O,Summary!$F$2-1,'HQ Fleet Attendance'!$E:$E,Summary!$Y12,'HQ Fleet Attendance'!$N:$N,Summary!AA$6)&gt;0,"Present","Absent")</f>
        <v>Present</v>
      </c>
      <c r="AB12" s="17" t="str">
        <f ca="1">IF(COUNTIFS('HQ Fleet Attendance'!$O:$O,Summary!$F$2-1,'HQ Fleet Attendance'!$E:$E,Summary!$Y12,'HQ Fleet Attendance'!$N:$N,Summary!AB$6)&gt;0,"Present","Absent")</f>
        <v>Present</v>
      </c>
      <c r="AC12" s="17" t="str">
        <f ca="1">IF(COUNTIFS('HQ Fleet Attendance'!$O:$O,Summary!$F$2-1,'HQ Fleet Attendance'!$E:$E,Summary!$Y12,'HQ Fleet Attendance'!$N:$N,Summary!AC$6)&gt;0,"Present","Absent")</f>
        <v>Present</v>
      </c>
      <c r="AD12" s="17" t="str">
        <f ca="1">IF(COUNTIFS('HQ Fleet Attendance'!$O:$O,Summary!$F$2-1,'HQ Fleet Attendance'!$E:$E,Summary!$Y12,'HQ Fleet Attendance'!$N:$N,Summary!AD$6)&gt;0,"Present","Absent")</f>
        <v>Present</v>
      </c>
      <c r="AE12" s="17" t="str">
        <f ca="1">IF(COUNTIFS('HQ Fleet Attendance'!$O:$O,Summary!$F$2-1,'HQ Fleet Attendance'!$E:$E,Summary!$Y12,'HQ Fleet Attendance'!$N:$N,Summary!AE$6)&gt;0,"Present","Absent")</f>
        <v>Present</v>
      </c>
      <c r="AF12" s="27">
        <f t="shared" ca="1" si="10"/>
        <v>1</v>
      </c>
      <c r="AG12" s="10">
        <f ca="1">COUNTIFS('HQ Fleet Attendance'!$O:$O,Summary!$F$2-1,'HQ Fleet Attendance'!$E:$E,Summary!$Y12)</f>
        <v>26</v>
      </c>
      <c r="AH12" s="10">
        <f t="shared" ca="1" si="5"/>
        <v>1</v>
      </c>
    </row>
    <row r="13" spans="1:34" ht="15" thickBot="1" x14ac:dyDescent="0.35">
      <c r="A13" s="17" t="s">
        <v>21</v>
      </c>
      <c r="B13" s="25">
        <f>_xlfn.MAXIFS(HQ_Fleet_Attendance[data-end_time],HQ_Fleet_Attendance[data-section1-staff],Summary!A13)</f>
        <v>44859.408333333333</v>
      </c>
      <c r="C13" s="26">
        <f>_xlfn.MAXIFS('HQ Fleet Attendance'!P:P,'HQ Fleet Attendance'!E:E,Summary!A13)</f>
        <v>44859</v>
      </c>
      <c r="D13" s="17" t="str">
        <f ca="1">IF(COUNTIFS('HQ Fleet Attendance'!Q:Q,Summary!$G$2,'HQ Fleet Attendance'!E:E,Summary!$A13,'HQ Fleet Attendance'!N:N,Summary!D$6)&gt;0,"Present","Absent")</f>
        <v>Present</v>
      </c>
      <c r="E13" s="17" t="str">
        <f ca="1">IF(COUNTIFS('HQ Fleet Attendance'!Q:Q,Summary!$G$2,'HQ Fleet Attendance'!E:E,Summary!$A13,'HQ Fleet Attendance'!N:N,Summary!E$6)&gt;0,"Present","Absent")</f>
        <v>Present</v>
      </c>
      <c r="F13" s="17" t="str">
        <f ca="1">IF(COUNTIFS('HQ Fleet Attendance'!Q:Q,Summary!$G$2,'HQ Fleet Attendance'!E:E,Summary!$A13,'HQ Fleet Attendance'!N:N,Summary!F$6)&gt;0,"Present","Absent")</f>
        <v>Absent</v>
      </c>
      <c r="G13" s="17" t="str">
        <f ca="1">IF(COUNTIFS('HQ Fleet Attendance'!Q:Q,Summary!$G$2,'HQ Fleet Attendance'!E:E,Summary!$A13,'HQ Fleet Attendance'!N:N,Summary!G$6)&gt;0,"Present","Absent")</f>
        <v>Absent</v>
      </c>
      <c r="H13" s="17" t="str">
        <f ca="1">IF(COUNTIFS('HQ Fleet Attendance'!Q:Q,Summary!$G$2,'HQ Fleet Attendance'!E:E,Summary!$A13,'HQ Fleet Attendance'!N:N,Summary!H$6)&gt;0,"Present","Absent")</f>
        <v>Absent</v>
      </c>
      <c r="I13" s="17" t="str">
        <f ca="1">IF(COUNTIFS('HQ Fleet Attendance'!Q:Q,Summary!$G$2,'HQ Fleet Attendance'!E:E,Summary!$A13,'HQ Fleet Attendance'!N:N,Summary!I$6)&gt;0,"Present","Absent")</f>
        <v>Absent</v>
      </c>
      <c r="J13" s="27">
        <f t="shared" ca="1" si="6"/>
        <v>0.2</v>
      </c>
      <c r="K13" s="10">
        <f ca="1">COUNTIFS('HQ Fleet Attendance'!O:O,Summary!$F$2,'HQ Fleet Attendance'!E:E,Summary!A13)</f>
        <v>19</v>
      </c>
      <c r="L13" s="10">
        <f t="shared" ca="1" si="2"/>
        <v>1</v>
      </c>
      <c r="N13" s="17" t="str">
        <f t="shared" si="7"/>
        <v>joseph_akpan</v>
      </c>
      <c r="O13" s="17" t="str">
        <f ca="1">IF(COUNTIFS('HQ Fleet Attendance'!$Q:$Q,Summary!$G$2-1,'HQ Fleet Attendance'!$E:$E,Summary!$A13,'HQ Fleet Attendance'!$N:$N,Summary!O$6)&gt;0,"Present","Absent")</f>
        <v>Present</v>
      </c>
      <c r="P13" s="17" t="str">
        <f ca="1">IF(COUNTIFS('HQ Fleet Attendance'!$Q:$Q,Summary!$G$2-1,'HQ Fleet Attendance'!$E:$E,Summary!$A13,'HQ Fleet Attendance'!$N:$N,Summary!P$6)&gt;0,"Present","Absent")</f>
        <v>Present</v>
      </c>
      <c r="Q13" s="17" t="str">
        <f ca="1">IF(COUNTIFS('HQ Fleet Attendance'!$Q:$Q,Summary!$G$2-1,'HQ Fleet Attendance'!$E:$E,Summary!$A13,'HQ Fleet Attendance'!$N:$N,Summary!Q$6)&gt;0,"Present","Absent")</f>
        <v>Present</v>
      </c>
      <c r="R13" s="17" t="str">
        <f ca="1">IF(COUNTIFS('HQ Fleet Attendance'!$Q:$Q,Summary!$G$2-1,'HQ Fleet Attendance'!$E:$E,Summary!$A13,'HQ Fleet Attendance'!$N:$N,Summary!R$6)&gt;0,"Present","Absent")</f>
        <v>Present</v>
      </c>
      <c r="S13" s="17" t="str">
        <f ca="1">IF(COUNTIFS('HQ Fleet Attendance'!$Q:$Q,Summary!$G$2-1,'HQ Fleet Attendance'!$E:$E,Summary!$A13,'HQ Fleet Attendance'!$N:$N,Summary!S$6)&gt;0,"Present","Absent")</f>
        <v>Present</v>
      </c>
      <c r="T13" s="17" t="str">
        <f ca="1">IF(COUNTIFS('HQ Fleet Attendance'!$Q:$Q,Summary!$G$2-1,'HQ Fleet Attendance'!$E:$E,Summary!$A13,'HQ Fleet Attendance'!$N:$N,Summary!T$6)&gt;0,"Present","Absent")</f>
        <v>Present</v>
      </c>
      <c r="U13" s="27">
        <f t="shared" ca="1" si="8"/>
        <v>1</v>
      </c>
      <c r="V13" s="10">
        <f t="shared" ca="1" si="9"/>
        <v>6</v>
      </c>
      <c r="W13" s="10">
        <f t="shared" ca="1" si="3"/>
        <v>1</v>
      </c>
      <c r="Y13" s="17" t="str">
        <f t="shared" si="4"/>
        <v>joseph_akpan</v>
      </c>
      <c r="Z13" s="17" t="str">
        <f ca="1">IF(COUNTIFS('HQ Fleet Attendance'!$O:$O,Summary!$F$2-1,'HQ Fleet Attendance'!$E:$E,Summary!$Y13,'HQ Fleet Attendance'!$N:$N,Summary!Z$6)&gt;0,"Present","Absent")</f>
        <v>Present</v>
      </c>
      <c r="AA13" s="17" t="str">
        <f ca="1">IF(COUNTIFS('HQ Fleet Attendance'!$O:$O,Summary!$F$2-1,'HQ Fleet Attendance'!$E:$E,Summary!$Y13,'HQ Fleet Attendance'!$N:$N,Summary!AA$6)&gt;0,"Present","Absent")</f>
        <v>Present</v>
      </c>
      <c r="AB13" s="17" t="str">
        <f ca="1">IF(COUNTIFS('HQ Fleet Attendance'!$O:$O,Summary!$F$2-1,'HQ Fleet Attendance'!$E:$E,Summary!$Y13,'HQ Fleet Attendance'!$N:$N,Summary!AB$6)&gt;0,"Present","Absent")</f>
        <v>Present</v>
      </c>
      <c r="AC13" s="17" t="str">
        <f ca="1">IF(COUNTIFS('HQ Fleet Attendance'!$O:$O,Summary!$F$2-1,'HQ Fleet Attendance'!$E:$E,Summary!$Y13,'HQ Fleet Attendance'!$N:$N,Summary!AC$6)&gt;0,"Present","Absent")</f>
        <v>Present</v>
      </c>
      <c r="AD13" s="17" t="str">
        <f ca="1">IF(COUNTIFS('HQ Fleet Attendance'!$O:$O,Summary!$F$2-1,'HQ Fleet Attendance'!$E:$E,Summary!$Y13,'HQ Fleet Attendance'!$N:$N,Summary!AD$6)&gt;0,"Present","Absent")</f>
        <v>Present</v>
      </c>
      <c r="AE13" s="17" t="str">
        <f ca="1">IF(COUNTIFS('HQ Fleet Attendance'!$O:$O,Summary!$F$2-1,'HQ Fleet Attendance'!$E:$E,Summary!$Y13,'HQ Fleet Attendance'!$N:$N,Summary!AE$6)&gt;0,"Present","Absent")</f>
        <v>Present</v>
      </c>
      <c r="AF13" s="27">
        <f t="shared" ca="1" si="10"/>
        <v>1</v>
      </c>
      <c r="AG13" s="10">
        <f ca="1">COUNTIFS('HQ Fleet Attendance'!$O:$O,Summary!$F$2-1,'HQ Fleet Attendance'!$E:$E,Summary!$Y13)</f>
        <v>25</v>
      </c>
      <c r="AH13" s="10">
        <f t="shared" ca="1" si="5"/>
        <v>1</v>
      </c>
    </row>
    <row r="14" spans="1:34" ht="15" thickBot="1" x14ac:dyDescent="0.35">
      <c r="A14" s="17" t="s">
        <v>42</v>
      </c>
      <c r="B14" s="25">
        <f>_xlfn.MAXIFS(HQ_Fleet_Attendance[data-end_time],HQ_Fleet_Attendance[data-section1-staff],Summary!A14)</f>
        <v>44859.408333333333</v>
      </c>
      <c r="C14" s="26">
        <f>_xlfn.MAXIFS('HQ Fleet Attendance'!P:P,'HQ Fleet Attendance'!E:E,Summary!A14)</f>
        <v>44859</v>
      </c>
      <c r="D14" s="17" t="str">
        <f ca="1">IF(COUNTIFS('HQ Fleet Attendance'!Q:Q,Summary!$G$2,'HQ Fleet Attendance'!E:E,Summary!$A14,'HQ Fleet Attendance'!N:N,Summary!D$6)&gt;0,"Present","Absent")</f>
        <v>Present</v>
      </c>
      <c r="E14" s="17" t="str">
        <f ca="1">IF(COUNTIFS('HQ Fleet Attendance'!Q:Q,Summary!$G$2,'HQ Fleet Attendance'!E:E,Summary!$A14,'HQ Fleet Attendance'!N:N,Summary!E$6)&gt;0,"Present","Absent")</f>
        <v>Present</v>
      </c>
      <c r="F14" s="17" t="str">
        <f ca="1">IF(COUNTIFS('HQ Fleet Attendance'!Q:Q,Summary!$G$2,'HQ Fleet Attendance'!E:E,Summary!$A14,'HQ Fleet Attendance'!N:N,Summary!F$6)&gt;0,"Present","Absent")</f>
        <v>Absent</v>
      </c>
      <c r="G14" s="17" t="str">
        <f ca="1">IF(COUNTIFS('HQ Fleet Attendance'!Q:Q,Summary!$G$2,'HQ Fleet Attendance'!E:E,Summary!$A14,'HQ Fleet Attendance'!N:N,Summary!G$6)&gt;0,"Present","Absent")</f>
        <v>Absent</v>
      </c>
      <c r="H14" s="17" t="str">
        <f ca="1">IF(COUNTIFS('HQ Fleet Attendance'!Q:Q,Summary!$G$2,'HQ Fleet Attendance'!E:E,Summary!$A14,'HQ Fleet Attendance'!N:N,Summary!H$6)&gt;0,"Present","Absent")</f>
        <v>Absent</v>
      </c>
      <c r="I14" s="17" t="str">
        <f ca="1">IF(COUNTIFS('HQ Fleet Attendance'!Q:Q,Summary!$G$2,'HQ Fleet Attendance'!E:E,Summary!$A14,'HQ Fleet Attendance'!N:N,Summary!I$6)&gt;0,"Present","Absent")</f>
        <v>Absent</v>
      </c>
      <c r="J14" s="27">
        <f t="shared" ca="1" si="6"/>
        <v>0.2</v>
      </c>
      <c r="K14" s="10">
        <f ca="1">COUNTIFS('HQ Fleet Attendance'!O:O,Summary!$F$2,'HQ Fleet Attendance'!E:E,Summary!A14)</f>
        <v>19</v>
      </c>
      <c r="L14" s="10">
        <f t="shared" ca="1" si="2"/>
        <v>1</v>
      </c>
      <c r="N14" s="17" t="str">
        <f t="shared" si="7"/>
        <v>kenedy_onaise</v>
      </c>
      <c r="O14" s="17" t="str">
        <f ca="1">IF(COUNTIFS('HQ Fleet Attendance'!$Q:$Q,Summary!$G$2-1,'HQ Fleet Attendance'!$E:$E,Summary!$A14,'HQ Fleet Attendance'!$N:$N,Summary!O$6)&gt;0,"Present","Absent")</f>
        <v>Present</v>
      </c>
      <c r="P14" s="17" t="str">
        <f ca="1">IF(COUNTIFS('HQ Fleet Attendance'!$Q:$Q,Summary!$G$2-1,'HQ Fleet Attendance'!$E:$E,Summary!$A14,'HQ Fleet Attendance'!$N:$N,Summary!P$6)&gt;0,"Present","Absent")</f>
        <v>Present</v>
      </c>
      <c r="Q14" s="17" t="str">
        <f ca="1">IF(COUNTIFS('HQ Fleet Attendance'!$Q:$Q,Summary!$G$2-1,'HQ Fleet Attendance'!$E:$E,Summary!$A14,'HQ Fleet Attendance'!$N:$N,Summary!Q$6)&gt;0,"Present","Absent")</f>
        <v>Present</v>
      </c>
      <c r="R14" s="17" t="str">
        <f ca="1">IF(COUNTIFS('HQ Fleet Attendance'!$Q:$Q,Summary!$G$2-1,'HQ Fleet Attendance'!$E:$E,Summary!$A14,'HQ Fleet Attendance'!$N:$N,Summary!R$6)&gt;0,"Present","Absent")</f>
        <v>Present</v>
      </c>
      <c r="S14" s="17" t="str">
        <f ca="1">IF(COUNTIFS('HQ Fleet Attendance'!$Q:$Q,Summary!$G$2-1,'HQ Fleet Attendance'!$E:$E,Summary!$A14,'HQ Fleet Attendance'!$N:$N,Summary!S$6)&gt;0,"Present","Absent")</f>
        <v>Present</v>
      </c>
      <c r="T14" s="17" t="str">
        <f ca="1">IF(COUNTIFS('HQ Fleet Attendance'!$Q:$Q,Summary!$G$2-1,'HQ Fleet Attendance'!$E:$E,Summary!$A14,'HQ Fleet Attendance'!$N:$N,Summary!T$6)&gt;0,"Present","Absent")</f>
        <v>Present</v>
      </c>
      <c r="U14" s="27">
        <f t="shared" ca="1" si="8"/>
        <v>1</v>
      </c>
      <c r="V14" s="10">
        <f t="shared" ca="1" si="9"/>
        <v>6</v>
      </c>
      <c r="W14" s="10">
        <f t="shared" ca="1" si="3"/>
        <v>1</v>
      </c>
      <c r="Y14" s="17" t="str">
        <f t="shared" si="4"/>
        <v>kenedy_onaise</v>
      </c>
      <c r="Z14" s="17" t="str">
        <f ca="1">IF(COUNTIFS('HQ Fleet Attendance'!$O:$O,Summary!$F$2-1,'HQ Fleet Attendance'!$E:$E,Summary!$Y14,'HQ Fleet Attendance'!$N:$N,Summary!Z$6)&gt;0,"Present","Absent")</f>
        <v>Present</v>
      </c>
      <c r="AA14" s="17" t="str">
        <f ca="1">IF(COUNTIFS('HQ Fleet Attendance'!$O:$O,Summary!$F$2-1,'HQ Fleet Attendance'!$E:$E,Summary!$Y14,'HQ Fleet Attendance'!$N:$N,Summary!AA$6)&gt;0,"Present","Absent")</f>
        <v>Present</v>
      </c>
      <c r="AB14" s="17" t="str">
        <f ca="1">IF(COUNTIFS('HQ Fleet Attendance'!$O:$O,Summary!$F$2-1,'HQ Fleet Attendance'!$E:$E,Summary!$Y14,'HQ Fleet Attendance'!$N:$N,Summary!AB$6)&gt;0,"Present","Absent")</f>
        <v>Present</v>
      </c>
      <c r="AC14" s="17" t="str">
        <f ca="1">IF(COUNTIFS('HQ Fleet Attendance'!$O:$O,Summary!$F$2-1,'HQ Fleet Attendance'!$E:$E,Summary!$Y14,'HQ Fleet Attendance'!$N:$N,Summary!AC$6)&gt;0,"Present","Absent")</f>
        <v>Present</v>
      </c>
      <c r="AD14" s="17" t="str">
        <f ca="1">IF(COUNTIFS('HQ Fleet Attendance'!$O:$O,Summary!$F$2-1,'HQ Fleet Attendance'!$E:$E,Summary!$Y14,'HQ Fleet Attendance'!$N:$N,Summary!AD$6)&gt;0,"Present","Absent")</f>
        <v>Present</v>
      </c>
      <c r="AE14" s="17" t="str">
        <f ca="1">IF(COUNTIFS('HQ Fleet Attendance'!$O:$O,Summary!$F$2-1,'HQ Fleet Attendance'!$E:$E,Summary!$Y14,'HQ Fleet Attendance'!$N:$N,Summary!AE$6)&gt;0,"Present","Absent")</f>
        <v>Present</v>
      </c>
      <c r="AF14" s="27">
        <f t="shared" ca="1" si="10"/>
        <v>1</v>
      </c>
      <c r="AG14" s="10">
        <f ca="1">COUNTIFS('HQ Fleet Attendance'!$O:$O,Summary!$F$2-1,'HQ Fleet Attendance'!$E:$E,Summary!$Y14)</f>
        <v>21</v>
      </c>
      <c r="AH14" s="10">
        <f t="shared" ca="1" si="5"/>
        <v>4</v>
      </c>
    </row>
    <row r="15" spans="1:34" ht="15" thickBot="1" x14ac:dyDescent="0.35">
      <c r="A15" s="17" t="s">
        <v>58</v>
      </c>
      <c r="B15" s="25">
        <f>_xlfn.MAXIFS(HQ_Fleet_Attendance[data-end_time],HQ_Fleet_Attendance[data-section1-staff],Summary!A15)</f>
        <v>44859.40902777778</v>
      </c>
      <c r="C15" s="26">
        <f>_xlfn.MAXIFS('HQ Fleet Attendance'!P:P,'HQ Fleet Attendance'!E:E,Summary!A15)</f>
        <v>44859</v>
      </c>
      <c r="D15" s="17" t="str">
        <f ca="1">IF(COUNTIFS('HQ Fleet Attendance'!Q:Q,Summary!$G$2,'HQ Fleet Attendance'!E:E,Summary!$A15,'HQ Fleet Attendance'!N:N,Summary!D$6)&gt;0,"Present","Absent")</f>
        <v>Present</v>
      </c>
      <c r="E15" s="17" t="str">
        <f ca="1">IF(COUNTIFS('HQ Fleet Attendance'!Q:Q,Summary!$G$2,'HQ Fleet Attendance'!E:E,Summary!$A15,'HQ Fleet Attendance'!N:N,Summary!E$6)&gt;0,"Present","Absent")</f>
        <v>Present</v>
      </c>
      <c r="F15" s="17" t="str">
        <f ca="1">IF(COUNTIFS('HQ Fleet Attendance'!Q:Q,Summary!$G$2,'HQ Fleet Attendance'!E:E,Summary!$A15,'HQ Fleet Attendance'!N:N,Summary!F$6)&gt;0,"Present","Absent")</f>
        <v>Absent</v>
      </c>
      <c r="G15" s="17" t="str">
        <f ca="1">IF(COUNTIFS('HQ Fleet Attendance'!Q:Q,Summary!$G$2,'HQ Fleet Attendance'!E:E,Summary!$A15,'HQ Fleet Attendance'!N:N,Summary!G$6)&gt;0,"Present","Absent")</f>
        <v>Absent</v>
      </c>
      <c r="H15" s="17" t="str">
        <f ca="1">IF(COUNTIFS('HQ Fleet Attendance'!Q:Q,Summary!$G$2,'HQ Fleet Attendance'!E:E,Summary!$A15,'HQ Fleet Attendance'!N:N,Summary!H$6)&gt;0,"Present","Absent")</f>
        <v>Absent</v>
      </c>
      <c r="I15" s="17" t="str">
        <f ca="1">IF(COUNTIFS('HQ Fleet Attendance'!Q:Q,Summary!$G$2,'HQ Fleet Attendance'!E:E,Summary!$A15,'HQ Fleet Attendance'!N:N,Summary!I$6)&gt;0,"Present","Absent")</f>
        <v>Absent</v>
      </c>
      <c r="J15" s="27">
        <f t="shared" ca="1" si="6"/>
        <v>0.2</v>
      </c>
      <c r="K15" s="10">
        <f ca="1">COUNTIFS('HQ Fleet Attendance'!O:O,Summary!$F$2,'HQ Fleet Attendance'!E:E,Summary!A15)</f>
        <v>15</v>
      </c>
      <c r="L15" s="10">
        <f t="shared" ca="1" si="2"/>
        <v>3</v>
      </c>
      <c r="N15" s="17" t="str">
        <f t="shared" si="7"/>
        <v>michael_omotosho</v>
      </c>
      <c r="O15" s="17" t="str">
        <f ca="1">IF(COUNTIFS('HQ Fleet Attendance'!$Q:$Q,Summary!$G$2-1,'HQ Fleet Attendance'!$E:$E,Summary!$A15,'HQ Fleet Attendance'!$N:$N,Summary!O$6)&gt;0,"Present","Absent")</f>
        <v>Present</v>
      </c>
      <c r="P15" s="17" t="str">
        <f ca="1">IF(COUNTIFS('HQ Fleet Attendance'!$Q:$Q,Summary!$G$2-1,'HQ Fleet Attendance'!$E:$E,Summary!$A15,'HQ Fleet Attendance'!$N:$N,Summary!P$6)&gt;0,"Present","Absent")</f>
        <v>Present</v>
      </c>
      <c r="Q15" s="17" t="str">
        <f ca="1">IF(COUNTIFS('HQ Fleet Attendance'!$Q:$Q,Summary!$G$2-1,'HQ Fleet Attendance'!$E:$E,Summary!$A15,'HQ Fleet Attendance'!$N:$N,Summary!Q$6)&gt;0,"Present","Absent")</f>
        <v>Present</v>
      </c>
      <c r="R15" s="17" t="str">
        <f ca="1">IF(COUNTIFS('HQ Fleet Attendance'!$Q:$Q,Summary!$G$2-1,'HQ Fleet Attendance'!$E:$E,Summary!$A15,'HQ Fleet Attendance'!$N:$N,Summary!R$6)&gt;0,"Present","Absent")</f>
        <v>Present</v>
      </c>
      <c r="S15" s="17" t="str">
        <f ca="1">IF(COUNTIFS('HQ Fleet Attendance'!$Q:$Q,Summary!$G$2-1,'HQ Fleet Attendance'!$E:$E,Summary!$A15,'HQ Fleet Attendance'!$N:$N,Summary!S$6)&gt;0,"Present","Absent")</f>
        <v>Present</v>
      </c>
      <c r="T15" s="17" t="str">
        <f ca="1">IF(COUNTIFS('HQ Fleet Attendance'!$Q:$Q,Summary!$G$2-1,'HQ Fleet Attendance'!$E:$E,Summary!$A15,'HQ Fleet Attendance'!$N:$N,Summary!T$6)&gt;0,"Present","Absent")</f>
        <v>Absent</v>
      </c>
      <c r="U15" s="27">
        <f t="shared" ca="1" si="8"/>
        <v>0.8</v>
      </c>
      <c r="V15" s="10">
        <f t="shared" ca="1" si="9"/>
        <v>5</v>
      </c>
      <c r="W15" s="10">
        <f t="shared" ca="1" si="3"/>
        <v>4</v>
      </c>
      <c r="Y15" s="17" t="str">
        <f t="shared" si="4"/>
        <v>michael_omotosho</v>
      </c>
      <c r="Z15" s="17" t="str">
        <f ca="1">IF(COUNTIFS('HQ Fleet Attendance'!$O:$O,Summary!$F$2-1,'HQ Fleet Attendance'!$E:$E,Summary!$Y15,'HQ Fleet Attendance'!$N:$N,Summary!Z$6)&gt;0,"Present","Absent")</f>
        <v>Present</v>
      </c>
      <c r="AA15" s="17" t="str">
        <f ca="1">IF(COUNTIFS('HQ Fleet Attendance'!$O:$O,Summary!$F$2-1,'HQ Fleet Attendance'!$E:$E,Summary!$Y15,'HQ Fleet Attendance'!$N:$N,Summary!AA$6)&gt;0,"Present","Absent")</f>
        <v>Present</v>
      </c>
      <c r="AB15" s="17" t="str">
        <f ca="1">IF(COUNTIFS('HQ Fleet Attendance'!$O:$O,Summary!$F$2-1,'HQ Fleet Attendance'!$E:$E,Summary!$Y15,'HQ Fleet Attendance'!$N:$N,Summary!AB$6)&gt;0,"Present","Absent")</f>
        <v>Present</v>
      </c>
      <c r="AC15" s="17" t="str">
        <f ca="1">IF(COUNTIFS('HQ Fleet Attendance'!$O:$O,Summary!$F$2-1,'HQ Fleet Attendance'!$E:$E,Summary!$Y15,'HQ Fleet Attendance'!$N:$N,Summary!AC$6)&gt;0,"Present","Absent")</f>
        <v>Present</v>
      </c>
      <c r="AD15" s="17" t="str">
        <f ca="1">IF(COUNTIFS('HQ Fleet Attendance'!$O:$O,Summary!$F$2-1,'HQ Fleet Attendance'!$E:$E,Summary!$Y15,'HQ Fleet Attendance'!$N:$N,Summary!AD$6)&gt;0,"Present","Absent")</f>
        <v>Present</v>
      </c>
      <c r="AE15" s="17" t="str">
        <f ca="1">IF(COUNTIFS('HQ Fleet Attendance'!$O:$O,Summary!$F$2-1,'HQ Fleet Attendance'!$E:$E,Summary!$Y15,'HQ Fleet Attendance'!$N:$N,Summary!AE$6)&gt;0,"Present","Absent")</f>
        <v>Absent</v>
      </c>
      <c r="AF15" s="27">
        <f t="shared" ca="1" si="10"/>
        <v>0.8</v>
      </c>
      <c r="AG15" s="10">
        <f ca="1">COUNTIFS('HQ Fleet Attendance'!$O:$O,Summary!$F$2-1,'HQ Fleet Attendance'!$E:$E,Summary!$Y15)</f>
        <v>21</v>
      </c>
      <c r="AH15" s="10">
        <f t="shared" ca="1" si="5"/>
        <v>4</v>
      </c>
    </row>
    <row r="16" spans="1:34" ht="15" thickBot="1" x14ac:dyDescent="0.35">
      <c r="A16" s="17" t="s">
        <v>61</v>
      </c>
      <c r="B16" s="25">
        <f>_xlfn.MAXIFS(HQ_Fleet_Attendance[data-end_time],HQ_Fleet_Attendance[data-section1-staff],Summary!A16)</f>
        <v>44859.40902777778</v>
      </c>
      <c r="C16" s="26">
        <f>_xlfn.MAXIFS('HQ Fleet Attendance'!P:P,'HQ Fleet Attendance'!E:E,Summary!A16)</f>
        <v>44859</v>
      </c>
      <c r="D16" s="17" t="str">
        <f ca="1">IF(COUNTIFS('HQ Fleet Attendance'!Q:Q,Summary!$G$2,'HQ Fleet Attendance'!E:E,Summary!$A16,'HQ Fleet Attendance'!N:N,Summary!D$6)&gt;0,"Present","Absent")</f>
        <v>Present</v>
      </c>
      <c r="E16" s="17" t="str">
        <f ca="1">IF(COUNTIFS('HQ Fleet Attendance'!Q:Q,Summary!$G$2,'HQ Fleet Attendance'!E:E,Summary!$A16,'HQ Fleet Attendance'!N:N,Summary!E$6)&gt;0,"Present","Absent")</f>
        <v>Present</v>
      </c>
      <c r="F16" s="17" t="str">
        <f ca="1">IF(COUNTIFS('HQ Fleet Attendance'!Q:Q,Summary!$G$2,'HQ Fleet Attendance'!E:E,Summary!$A16,'HQ Fleet Attendance'!N:N,Summary!F$6)&gt;0,"Present","Absent")</f>
        <v>Absent</v>
      </c>
      <c r="G16" s="17" t="str">
        <f ca="1">IF(COUNTIFS('HQ Fleet Attendance'!Q:Q,Summary!$G$2,'HQ Fleet Attendance'!E:E,Summary!$A16,'HQ Fleet Attendance'!N:N,Summary!G$6)&gt;0,"Present","Absent")</f>
        <v>Absent</v>
      </c>
      <c r="H16" s="17" t="str">
        <f ca="1">IF(COUNTIFS('HQ Fleet Attendance'!Q:Q,Summary!$G$2,'HQ Fleet Attendance'!E:E,Summary!$A16,'HQ Fleet Attendance'!N:N,Summary!H$6)&gt;0,"Present","Absent")</f>
        <v>Absent</v>
      </c>
      <c r="I16" s="17" t="str">
        <f ca="1">IF(COUNTIFS('HQ Fleet Attendance'!Q:Q,Summary!$G$2,'HQ Fleet Attendance'!E:E,Summary!$A16,'HQ Fleet Attendance'!N:N,Summary!I$6)&gt;0,"Present","Absent")</f>
        <v>Absent</v>
      </c>
      <c r="J16" s="27">
        <f t="shared" ca="1" si="6"/>
        <v>0.2</v>
      </c>
      <c r="K16" s="10">
        <f ca="1">COUNTIFS('HQ Fleet Attendance'!O:O,Summary!$F$2,'HQ Fleet Attendance'!E:E,Summary!A16)</f>
        <v>14</v>
      </c>
      <c r="L16" s="10">
        <f t="shared" ca="1" si="2"/>
        <v>3</v>
      </c>
      <c r="N16" s="17" t="str">
        <f t="shared" si="7"/>
        <v>ogunlade_samuel_tope</v>
      </c>
      <c r="O16" s="17" t="str">
        <f ca="1">IF(COUNTIFS('HQ Fleet Attendance'!$Q:$Q,Summary!$G$2-1,'HQ Fleet Attendance'!$E:$E,Summary!$A16,'HQ Fleet Attendance'!$N:$N,Summary!O$6)&gt;0,"Present","Absent")</f>
        <v>Present</v>
      </c>
      <c r="P16" s="17" t="str">
        <f ca="1">IF(COUNTIFS('HQ Fleet Attendance'!$Q:$Q,Summary!$G$2-1,'HQ Fleet Attendance'!$E:$E,Summary!$A16,'HQ Fleet Attendance'!$N:$N,Summary!P$6)&gt;0,"Present","Absent")</f>
        <v>Present</v>
      </c>
      <c r="Q16" s="17" t="str">
        <f ca="1">IF(COUNTIFS('HQ Fleet Attendance'!$Q:$Q,Summary!$G$2-1,'HQ Fleet Attendance'!$E:$E,Summary!$A16,'HQ Fleet Attendance'!$N:$N,Summary!Q$6)&gt;0,"Present","Absent")</f>
        <v>Present</v>
      </c>
      <c r="R16" s="17" t="str">
        <f ca="1">IF(COUNTIFS('HQ Fleet Attendance'!$Q:$Q,Summary!$G$2-1,'HQ Fleet Attendance'!$E:$E,Summary!$A16,'HQ Fleet Attendance'!$N:$N,Summary!R$6)&gt;0,"Present","Absent")</f>
        <v>Present</v>
      </c>
      <c r="S16" s="17" t="str">
        <f ca="1">IF(COUNTIFS('HQ Fleet Attendance'!$Q:$Q,Summary!$G$2-1,'HQ Fleet Attendance'!$E:$E,Summary!$A16,'HQ Fleet Attendance'!$N:$N,Summary!S$6)&gt;0,"Present","Absent")</f>
        <v>Present</v>
      </c>
      <c r="T16" s="17" t="str">
        <f ca="1">IF(COUNTIFS('HQ Fleet Attendance'!$Q:$Q,Summary!$G$2-1,'HQ Fleet Attendance'!$E:$E,Summary!$A16,'HQ Fleet Attendance'!$N:$N,Summary!T$6)&gt;0,"Present","Absent")</f>
        <v>Present</v>
      </c>
      <c r="U16" s="27">
        <f t="shared" ca="1" si="8"/>
        <v>1</v>
      </c>
      <c r="V16" s="10">
        <f t="shared" ca="1" si="9"/>
        <v>6</v>
      </c>
      <c r="W16" s="10">
        <f t="shared" ca="1" si="3"/>
        <v>1</v>
      </c>
      <c r="Y16" s="17" t="str">
        <f t="shared" si="4"/>
        <v>ogunlade_samuel_tope</v>
      </c>
      <c r="Z16" s="17" t="str">
        <f ca="1">IF(COUNTIFS('HQ Fleet Attendance'!$O:$O,Summary!$F$2-1,'HQ Fleet Attendance'!$E:$E,Summary!$Y16,'HQ Fleet Attendance'!$N:$N,Summary!Z$6)&gt;0,"Present","Absent")</f>
        <v>Present</v>
      </c>
      <c r="AA16" s="17" t="str">
        <f ca="1">IF(COUNTIFS('HQ Fleet Attendance'!$O:$O,Summary!$F$2-1,'HQ Fleet Attendance'!$E:$E,Summary!$Y16,'HQ Fleet Attendance'!$N:$N,Summary!AA$6)&gt;0,"Present","Absent")</f>
        <v>Present</v>
      </c>
      <c r="AB16" s="17" t="str">
        <f ca="1">IF(COUNTIFS('HQ Fleet Attendance'!$O:$O,Summary!$F$2-1,'HQ Fleet Attendance'!$E:$E,Summary!$Y16,'HQ Fleet Attendance'!$N:$N,Summary!AB$6)&gt;0,"Present","Absent")</f>
        <v>Present</v>
      </c>
      <c r="AC16" s="17" t="str">
        <f ca="1">IF(COUNTIFS('HQ Fleet Attendance'!$O:$O,Summary!$F$2-1,'HQ Fleet Attendance'!$E:$E,Summary!$Y16,'HQ Fleet Attendance'!$N:$N,Summary!AC$6)&gt;0,"Present","Absent")</f>
        <v>Present</v>
      </c>
      <c r="AD16" s="17" t="str">
        <f ca="1">IF(COUNTIFS('HQ Fleet Attendance'!$O:$O,Summary!$F$2-1,'HQ Fleet Attendance'!$E:$E,Summary!$Y16,'HQ Fleet Attendance'!$N:$N,Summary!AD$6)&gt;0,"Present","Absent")</f>
        <v>Present</v>
      </c>
      <c r="AE16" s="17" t="str">
        <f ca="1">IF(COUNTIFS('HQ Fleet Attendance'!$O:$O,Summary!$F$2-1,'HQ Fleet Attendance'!$E:$E,Summary!$Y16,'HQ Fleet Attendance'!$N:$N,Summary!AE$6)&gt;0,"Present","Absent")</f>
        <v>Present</v>
      </c>
      <c r="AF16" s="27">
        <f t="shared" ca="1" si="10"/>
        <v>1</v>
      </c>
      <c r="AG16" s="10">
        <f ca="1">COUNTIFS('HQ Fleet Attendance'!$O:$O,Summary!$F$2-1,'HQ Fleet Attendance'!$E:$E,Summary!$Y16)</f>
        <v>25</v>
      </c>
      <c r="AH16" s="10">
        <f t="shared" ca="1" si="5"/>
        <v>1</v>
      </c>
    </row>
    <row r="17" spans="1:34" ht="15" thickBot="1" x14ac:dyDescent="0.35">
      <c r="A17" s="17" t="s">
        <v>554</v>
      </c>
      <c r="B17" s="25">
        <f>_xlfn.MAXIFS(HQ_Fleet_Attendance[data-end_time],HQ_Fleet_Attendance[data-section1-staff],Summary!A17)</f>
        <v>44859.40902777778</v>
      </c>
      <c r="C17" s="26">
        <f>_xlfn.MAXIFS('HQ Fleet Attendance'!P:P,'HQ Fleet Attendance'!E:E,Summary!A17)</f>
        <v>44859</v>
      </c>
      <c r="D17" s="17" t="str">
        <f ca="1">IF(COUNTIFS('HQ Fleet Attendance'!Q:Q,Summary!$G$2,'HQ Fleet Attendance'!E:E,Summary!$A17,'HQ Fleet Attendance'!N:N,Summary!D$6)&gt;0,"Present","Absent")</f>
        <v>Present</v>
      </c>
      <c r="E17" s="17" t="str">
        <f ca="1">IF(COUNTIFS('HQ Fleet Attendance'!Q:Q,Summary!$G$2,'HQ Fleet Attendance'!E:E,Summary!$A17,'HQ Fleet Attendance'!N:N,Summary!E$6)&gt;0,"Present","Absent")</f>
        <v>Present</v>
      </c>
      <c r="F17" s="17" t="str">
        <f ca="1">IF(COUNTIFS('HQ Fleet Attendance'!Q:Q,Summary!$G$2,'HQ Fleet Attendance'!E:E,Summary!$A17,'HQ Fleet Attendance'!N:N,Summary!F$6)&gt;0,"Present","Absent")</f>
        <v>Absent</v>
      </c>
      <c r="G17" s="17" t="str">
        <f ca="1">IF(COUNTIFS('HQ Fleet Attendance'!Q:Q,Summary!$G$2,'HQ Fleet Attendance'!E:E,Summary!$A17,'HQ Fleet Attendance'!N:N,Summary!G$6)&gt;0,"Present","Absent")</f>
        <v>Absent</v>
      </c>
      <c r="H17" s="17" t="str">
        <f ca="1">IF(COUNTIFS('HQ Fleet Attendance'!Q:Q,Summary!$G$2,'HQ Fleet Attendance'!E:E,Summary!$A17,'HQ Fleet Attendance'!N:N,Summary!H$6)&gt;0,"Present","Absent")</f>
        <v>Absent</v>
      </c>
      <c r="I17" s="17" t="str">
        <f ca="1">IF(COUNTIFS('HQ Fleet Attendance'!Q:Q,Summary!$G$2,'HQ Fleet Attendance'!E:E,Summary!$A17,'HQ Fleet Attendance'!N:N,Summary!I$6)&gt;0,"Present","Absent")</f>
        <v>Absent</v>
      </c>
      <c r="J17" s="27">
        <f t="shared" ca="1" si="6"/>
        <v>0.2</v>
      </c>
      <c r="K17" s="10">
        <f ca="1">COUNTIFS('HQ Fleet Attendance'!O:O,Summary!$F$2,'HQ Fleet Attendance'!E:E,Summary!A17)</f>
        <v>11</v>
      </c>
      <c r="L17" s="10">
        <f t="shared" ca="1" si="2"/>
        <v>3</v>
      </c>
      <c r="N17" s="17" t="str">
        <f t="shared" si="7"/>
        <v>oluwaseun_corper</v>
      </c>
      <c r="O17" s="17" t="str">
        <f ca="1">IF(COUNTIFS('HQ Fleet Attendance'!$Q:$Q,Summary!$G$2-1,'HQ Fleet Attendance'!$E:$E,Summary!$A17,'HQ Fleet Attendance'!$N:$N,Summary!O$6)&gt;0,"Present","Absent")</f>
        <v>Present</v>
      </c>
      <c r="P17" s="17" t="str">
        <f ca="1">IF(COUNTIFS('HQ Fleet Attendance'!$Q:$Q,Summary!$G$2-1,'HQ Fleet Attendance'!$E:$E,Summary!$A17,'HQ Fleet Attendance'!$N:$N,Summary!P$6)&gt;0,"Present","Absent")</f>
        <v>Present</v>
      </c>
      <c r="Q17" s="17" t="str">
        <f ca="1">IF(COUNTIFS('HQ Fleet Attendance'!$Q:$Q,Summary!$G$2-1,'HQ Fleet Attendance'!$E:$E,Summary!$A17,'HQ Fleet Attendance'!$N:$N,Summary!Q$6)&gt;0,"Present","Absent")</f>
        <v>Absent</v>
      </c>
      <c r="R17" s="17" t="str">
        <f ca="1">IF(COUNTIFS('HQ Fleet Attendance'!$Q:$Q,Summary!$G$2-1,'HQ Fleet Attendance'!$E:$E,Summary!$A17,'HQ Fleet Attendance'!$N:$N,Summary!R$6)&gt;0,"Present","Absent")</f>
        <v>Present</v>
      </c>
      <c r="S17" s="17" t="str">
        <f ca="1">IF(COUNTIFS('HQ Fleet Attendance'!$Q:$Q,Summary!$G$2-1,'HQ Fleet Attendance'!$E:$E,Summary!$A17,'HQ Fleet Attendance'!$N:$N,Summary!S$6)&gt;0,"Present","Absent")</f>
        <v>Present</v>
      </c>
      <c r="T17" s="17" t="str">
        <f ca="1">IF(COUNTIFS('HQ Fleet Attendance'!$Q:$Q,Summary!$G$2-1,'HQ Fleet Attendance'!$E:$E,Summary!$A17,'HQ Fleet Attendance'!$N:$N,Summary!T$6)&gt;0,"Present","Absent")</f>
        <v>Absent</v>
      </c>
      <c r="U17" s="27">
        <f t="shared" ca="1" si="8"/>
        <v>0.6</v>
      </c>
      <c r="V17" s="10">
        <f t="shared" ca="1" si="9"/>
        <v>4</v>
      </c>
      <c r="W17" s="10">
        <f t="shared" ca="1" si="3"/>
        <v>3</v>
      </c>
      <c r="Y17" s="17" t="str">
        <f t="shared" si="4"/>
        <v>oluwaseun_corper</v>
      </c>
      <c r="Z17" s="17" t="str">
        <f ca="1">IF(COUNTIFS('HQ Fleet Attendance'!$O:$O,Summary!$F$2-1,'HQ Fleet Attendance'!$E:$E,Summary!$Y17,'HQ Fleet Attendance'!$N:$N,Summary!Z$6)&gt;0,"Present","Absent")</f>
        <v>Present</v>
      </c>
      <c r="AA17" s="17" t="str">
        <f ca="1">IF(COUNTIFS('HQ Fleet Attendance'!$O:$O,Summary!$F$2-1,'HQ Fleet Attendance'!$E:$E,Summary!$Y17,'HQ Fleet Attendance'!$N:$N,Summary!AA$6)&gt;0,"Present","Absent")</f>
        <v>Present</v>
      </c>
      <c r="AB17" s="17" t="str">
        <f ca="1">IF(COUNTIFS('HQ Fleet Attendance'!$O:$O,Summary!$F$2-1,'HQ Fleet Attendance'!$E:$E,Summary!$Y17,'HQ Fleet Attendance'!$N:$N,Summary!AB$6)&gt;0,"Present","Absent")</f>
        <v>Absent</v>
      </c>
      <c r="AC17" s="17" t="str">
        <f ca="1">IF(COUNTIFS('HQ Fleet Attendance'!$O:$O,Summary!$F$2-1,'HQ Fleet Attendance'!$E:$E,Summary!$Y17,'HQ Fleet Attendance'!$N:$N,Summary!AC$6)&gt;0,"Present","Absent")</f>
        <v>Present</v>
      </c>
      <c r="AD17" s="17" t="str">
        <f ca="1">IF(COUNTIFS('HQ Fleet Attendance'!$O:$O,Summary!$F$2-1,'HQ Fleet Attendance'!$E:$E,Summary!$Y17,'HQ Fleet Attendance'!$N:$N,Summary!AD$6)&gt;0,"Present","Absent")</f>
        <v>Present</v>
      </c>
      <c r="AE17" s="17" t="str">
        <f ca="1">IF(COUNTIFS('HQ Fleet Attendance'!$O:$O,Summary!$F$2-1,'HQ Fleet Attendance'!$E:$E,Summary!$Y17,'HQ Fleet Attendance'!$N:$N,Summary!AE$6)&gt;0,"Present","Absent")</f>
        <v>Absent</v>
      </c>
      <c r="AF17" s="27">
        <f t="shared" ca="1" si="10"/>
        <v>0.6</v>
      </c>
      <c r="AG17" s="10">
        <f ca="1">COUNTIFS('HQ Fleet Attendance'!$O:$O,Summary!$F$2-1,'HQ Fleet Attendance'!$E:$E,Summary!$Y17)</f>
        <v>14</v>
      </c>
      <c r="AH17" s="10">
        <f t="shared" ca="1" si="5"/>
        <v>3</v>
      </c>
    </row>
    <row r="18" spans="1:34" ht="15" thickBot="1" x14ac:dyDescent="0.35">
      <c r="A18" s="17" t="s">
        <v>51</v>
      </c>
      <c r="B18" s="25">
        <f>_xlfn.MAXIFS(HQ_Fleet_Attendance[data-end_time],HQ_Fleet_Attendance[data-section1-staff],Summary!A18)</f>
        <v>44859.408333333333</v>
      </c>
      <c r="C18" s="26">
        <f>_xlfn.MAXIFS('HQ Fleet Attendance'!P:P,'HQ Fleet Attendance'!E:E,Summary!A18)</f>
        <v>44859</v>
      </c>
      <c r="D18" s="17" t="str">
        <f ca="1">IF(COUNTIFS('HQ Fleet Attendance'!Q:Q,Summary!$G$2,'HQ Fleet Attendance'!E:E,Summary!$A18,'HQ Fleet Attendance'!N:N,Summary!D$6)&gt;0,"Present","Absent")</f>
        <v>Present</v>
      </c>
      <c r="E18" s="17" t="str">
        <f ca="1">IF(COUNTIFS('HQ Fleet Attendance'!Q:Q,Summary!$G$2,'HQ Fleet Attendance'!E:E,Summary!$A18,'HQ Fleet Attendance'!N:N,Summary!E$6)&gt;0,"Present","Absent")</f>
        <v>Present</v>
      </c>
      <c r="F18" s="17" t="str">
        <f ca="1">IF(COUNTIFS('HQ Fleet Attendance'!Q:Q,Summary!$G$2,'HQ Fleet Attendance'!E:E,Summary!$A18,'HQ Fleet Attendance'!N:N,Summary!F$6)&gt;0,"Present","Absent")</f>
        <v>Absent</v>
      </c>
      <c r="G18" s="17" t="str">
        <f ca="1">IF(COUNTIFS('HQ Fleet Attendance'!Q:Q,Summary!$G$2,'HQ Fleet Attendance'!E:E,Summary!$A18,'HQ Fleet Attendance'!N:N,Summary!G$6)&gt;0,"Present","Absent")</f>
        <v>Absent</v>
      </c>
      <c r="H18" s="17" t="str">
        <f ca="1">IF(COUNTIFS('HQ Fleet Attendance'!Q:Q,Summary!$G$2,'HQ Fleet Attendance'!E:E,Summary!$A18,'HQ Fleet Attendance'!N:N,Summary!H$6)&gt;0,"Present","Absent")</f>
        <v>Absent</v>
      </c>
      <c r="I18" s="17" t="str">
        <f ca="1">IF(COUNTIFS('HQ Fleet Attendance'!Q:Q,Summary!$G$2,'HQ Fleet Attendance'!E:E,Summary!$A18,'HQ Fleet Attendance'!N:N,Summary!I$6)&gt;0,"Present","Absent")</f>
        <v>Absent</v>
      </c>
      <c r="J18" s="27">
        <f t="shared" ca="1" si="6"/>
        <v>0.2</v>
      </c>
      <c r="K18" s="10">
        <f ca="1">COUNTIFS('HQ Fleet Attendance'!O:O,Summary!$F$2,'HQ Fleet Attendance'!E:E,Summary!A18)</f>
        <v>19</v>
      </c>
      <c r="L18" s="10">
        <f t="shared" ca="1" si="2"/>
        <v>1</v>
      </c>
      <c r="N18" s="17" t="str">
        <f t="shared" si="7"/>
        <v>paul_oyelaran</v>
      </c>
      <c r="O18" s="17" t="str">
        <f ca="1">IF(COUNTIFS('HQ Fleet Attendance'!$Q:$Q,Summary!$G$2-1,'HQ Fleet Attendance'!$E:$E,Summary!$A18,'HQ Fleet Attendance'!$N:$N,Summary!O$6)&gt;0,"Present","Absent")</f>
        <v>Present</v>
      </c>
      <c r="P18" s="17" t="str">
        <f ca="1">IF(COUNTIFS('HQ Fleet Attendance'!$Q:$Q,Summary!$G$2-1,'HQ Fleet Attendance'!$E:$E,Summary!$A18,'HQ Fleet Attendance'!$N:$N,Summary!P$6)&gt;0,"Present","Absent")</f>
        <v>Present</v>
      </c>
      <c r="Q18" s="17" t="str">
        <f ca="1">IF(COUNTIFS('HQ Fleet Attendance'!$Q:$Q,Summary!$G$2-1,'HQ Fleet Attendance'!$E:$E,Summary!$A18,'HQ Fleet Attendance'!$N:$N,Summary!Q$6)&gt;0,"Present","Absent")</f>
        <v>Present</v>
      </c>
      <c r="R18" s="17" t="str">
        <f ca="1">IF(COUNTIFS('HQ Fleet Attendance'!$Q:$Q,Summary!$G$2-1,'HQ Fleet Attendance'!$E:$E,Summary!$A18,'HQ Fleet Attendance'!$N:$N,Summary!R$6)&gt;0,"Present","Absent")</f>
        <v>Present</v>
      </c>
      <c r="S18" s="17" t="str">
        <f ca="1">IF(COUNTIFS('HQ Fleet Attendance'!$Q:$Q,Summary!$G$2-1,'HQ Fleet Attendance'!$E:$E,Summary!$A18,'HQ Fleet Attendance'!$N:$N,Summary!S$6)&gt;0,"Present","Absent")</f>
        <v>Present</v>
      </c>
      <c r="T18" s="17" t="str">
        <f ca="1">IF(COUNTIFS('HQ Fleet Attendance'!$Q:$Q,Summary!$G$2-1,'HQ Fleet Attendance'!$E:$E,Summary!$A18,'HQ Fleet Attendance'!$N:$N,Summary!T$6)&gt;0,"Present","Absent")</f>
        <v>Present</v>
      </c>
      <c r="U18" s="27">
        <f t="shared" ca="1" si="8"/>
        <v>1</v>
      </c>
      <c r="V18" s="10">
        <f t="shared" ca="1" si="9"/>
        <v>6</v>
      </c>
      <c r="W18" s="10">
        <f t="shared" ca="1" si="3"/>
        <v>1</v>
      </c>
      <c r="Y18" s="17" t="str">
        <f t="shared" si="4"/>
        <v>paul_oyelaran</v>
      </c>
      <c r="Z18" s="17" t="str">
        <f ca="1">IF(COUNTIFS('HQ Fleet Attendance'!$O:$O,Summary!$F$2-1,'HQ Fleet Attendance'!$E:$E,Summary!$Y18,'HQ Fleet Attendance'!$N:$N,Summary!Z$6)&gt;0,"Present","Absent")</f>
        <v>Present</v>
      </c>
      <c r="AA18" s="17" t="str">
        <f ca="1">IF(COUNTIFS('HQ Fleet Attendance'!$O:$O,Summary!$F$2-1,'HQ Fleet Attendance'!$E:$E,Summary!$Y18,'HQ Fleet Attendance'!$N:$N,Summary!AA$6)&gt;0,"Present","Absent")</f>
        <v>Present</v>
      </c>
      <c r="AB18" s="17" t="str">
        <f ca="1">IF(COUNTIFS('HQ Fleet Attendance'!$O:$O,Summary!$F$2-1,'HQ Fleet Attendance'!$E:$E,Summary!$Y18,'HQ Fleet Attendance'!$N:$N,Summary!AB$6)&gt;0,"Present","Absent")</f>
        <v>Present</v>
      </c>
      <c r="AC18" s="17" t="str">
        <f ca="1">IF(COUNTIFS('HQ Fleet Attendance'!$O:$O,Summary!$F$2-1,'HQ Fleet Attendance'!$E:$E,Summary!$Y18,'HQ Fleet Attendance'!$N:$N,Summary!AC$6)&gt;0,"Present","Absent")</f>
        <v>Present</v>
      </c>
      <c r="AD18" s="17" t="str">
        <f ca="1">IF(COUNTIFS('HQ Fleet Attendance'!$O:$O,Summary!$F$2-1,'HQ Fleet Attendance'!$E:$E,Summary!$Y18,'HQ Fleet Attendance'!$N:$N,Summary!AD$6)&gt;0,"Present","Absent")</f>
        <v>Present</v>
      </c>
      <c r="AE18" s="17" t="str">
        <f ca="1">IF(COUNTIFS('HQ Fleet Attendance'!$O:$O,Summary!$F$2-1,'HQ Fleet Attendance'!$E:$E,Summary!$Y18,'HQ Fleet Attendance'!$N:$N,Summary!AE$6)&gt;0,"Present","Absent")</f>
        <v>Present</v>
      </c>
      <c r="AF18" s="27">
        <f t="shared" ca="1" si="10"/>
        <v>1</v>
      </c>
      <c r="AG18" s="10">
        <f ca="1">COUNTIFS('HQ Fleet Attendance'!$O:$O,Summary!$F$2-1,'HQ Fleet Attendance'!$E:$E,Summary!$Y18)</f>
        <v>24</v>
      </c>
      <c r="AH18" s="10">
        <f t="shared" ca="1" si="5"/>
        <v>1</v>
      </c>
    </row>
    <row r="19" spans="1:34" ht="15" thickBot="1" x14ac:dyDescent="0.35">
      <c r="A19" s="17" t="s">
        <v>536</v>
      </c>
      <c r="B19" s="25">
        <f>_xlfn.MAXIFS(HQ_Fleet_Attendance[data-end_time],HQ_Fleet_Attendance[data-section1-staff],Summary!A19)</f>
        <v>44859.408333333333</v>
      </c>
      <c r="C19" s="26">
        <f>_xlfn.MAXIFS('HQ Fleet Attendance'!P:P,'HQ Fleet Attendance'!E:E,Summary!A19)</f>
        <v>44859</v>
      </c>
      <c r="D19" s="17" t="str">
        <f ca="1">IF(COUNTIFS('HQ Fleet Attendance'!Q:Q,Summary!$G$2,'HQ Fleet Attendance'!E:E,Summary!$A19,'HQ Fleet Attendance'!N:N,Summary!D$6)&gt;0,"Present","Absent")</f>
        <v>Present</v>
      </c>
      <c r="E19" s="17" t="str">
        <f ca="1">IF(COUNTIFS('HQ Fleet Attendance'!Q:Q,Summary!$G$2,'HQ Fleet Attendance'!E:E,Summary!$A19,'HQ Fleet Attendance'!N:N,Summary!E$6)&gt;0,"Present","Absent")</f>
        <v>Present</v>
      </c>
      <c r="F19" s="17" t="str">
        <f ca="1">IF(COUNTIFS('HQ Fleet Attendance'!Q:Q,Summary!$G$2,'HQ Fleet Attendance'!E:E,Summary!$A19,'HQ Fleet Attendance'!N:N,Summary!F$6)&gt;0,"Present","Absent")</f>
        <v>Absent</v>
      </c>
      <c r="G19" s="17" t="str">
        <f ca="1">IF(COUNTIFS('HQ Fleet Attendance'!Q:Q,Summary!$G$2,'HQ Fleet Attendance'!E:E,Summary!$A19,'HQ Fleet Attendance'!N:N,Summary!G$6)&gt;0,"Present","Absent")</f>
        <v>Absent</v>
      </c>
      <c r="H19" s="17" t="str">
        <f ca="1">IF(COUNTIFS('HQ Fleet Attendance'!Q:Q,Summary!$G$2,'HQ Fleet Attendance'!E:E,Summary!$A19,'HQ Fleet Attendance'!N:N,Summary!H$6)&gt;0,"Present","Absent")</f>
        <v>Absent</v>
      </c>
      <c r="I19" s="17" t="str">
        <f ca="1">IF(COUNTIFS('HQ Fleet Attendance'!Q:Q,Summary!$G$2,'HQ Fleet Attendance'!E:E,Summary!$A19,'HQ Fleet Attendance'!N:N,Summary!I$6)&gt;0,"Present","Absent")</f>
        <v>Absent</v>
      </c>
      <c r="J19" s="27">
        <f t="shared" ca="1" si="6"/>
        <v>0.2</v>
      </c>
      <c r="K19" s="10">
        <f ca="1">COUNTIFS('HQ Fleet Attendance'!O:O,Summary!$F$2,'HQ Fleet Attendance'!E:E,Summary!A19)</f>
        <v>19</v>
      </c>
      <c r="L19" s="10">
        <f t="shared" ca="1" si="2"/>
        <v>1</v>
      </c>
      <c r="N19" s="17" t="str">
        <f t="shared" si="7"/>
        <v>titilayo_esther</v>
      </c>
      <c r="O19" s="17" t="str">
        <f ca="1">IF(COUNTIFS('HQ Fleet Attendance'!$Q:$Q,Summary!$G$2-1,'HQ Fleet Attendance'!$E:$E,Summary!$A19,'HQ Fleet Attendance'!$N:$N,Summary!O$6)&gt;0,"Present","Absent")</f>
        <v>Present</v>
      </c>
      <c r="P19" s="17" t="str">
        <f ca="1">IF(COUNTIFS('HQ Fleet Attendance'!$Q:$Q,Summary!$G$2-1,'HQ Fleet Attendance'!$E:$E,Summary!$A19,'HQ Fleet Attendance'!$N:$N,Summary!P$6)&gt;0,"Present","Absent")</f>
        <v>Present</v>
      </c>
      <c r="Q19" s="17" t="str">
        <f ca="1">IF(COUNTIFS('HQ Fleet Attendance'!$Q:$Q,Summary!$G$2-1,'HQ Fleet Attendance'!$E:$E,Summary!$A19,'HQ Fleet Attendance'!$N:$N,Summary!Q$6)&gt;0,"Present","Absent")</f>
        <v>Present</v>
      </c>
      <c r="R19" s="17" t="str">
        <f ca="1">IF(COUNTIFS('HQ Fleet Attendance'!$Q:$Q,Summary!$G$2-1,'HQ Fleet Attendance'!$E:$E,Summary!$A19,'HQ Fleet Attendance'!$N:$N,Summary!R$6)&gt;0,"Present","Absent")</f>
        <v>Present</v>
      </c>
      <c r="S19" s="17" t="str">
        <f ca="1">IF(COUNTIFS('HQ Fleet Attendance'!$Q:$Q,Summary!$G$2-1,'HQ Fleet Attendance'!$E:$E,Summary!$A19,'HQ Fleet Attendance'!$N:$N,Summary!S$6)&gt;0,"Present","Absent")</f>
        <v>Present</v>
      </c>
      <c r="T19" s="17" t="str">
        <f ca="1">IF(COUNTIFS('HQ Fleet Attendance'!$Q:$Q,Summary!$G$2-1,'HQ Fleet Attendance'!$E:$E,Summary!$A19,'HQ Fleet Attendance'!$N:$N,Summary!T$6)&gt;0,"Present","Absent")</f>
        <v>Present</v>
      </c>
      <c r="U19" s="27">
        <f t="shared" ca="1" si="8"/>
        <v>1</v>
      </c>
      <c r="V19" s="10">
        <f t="shared" ca="1" si="9"/>
        <v>6</v>
      </c>
      <c r="W19" s="10">
        <f t="shared" ca="1" si="3"/>
        <v>1</v>
      </c>
      <c r="Y19" s="17" t="str">
        <f t="shared" si="4"/>
        <v>titilayo_esther</v>
      </c>
      <c r="Z19" s="17" t="str">
        <f ca="1">IF(COUNTIFS('HQ Fleet Attendance'!$O:$O,Summary!$F$2-1,'HQ Fleet Attendance'!$E:$E,Summary!$Y19,'HQ Fleet Attendance'!$N:$N,Summary!Z$6)&gt;0,"Present","Absent")</f>
        <v>Present</v>
      </c>
      <c r="AA19" s="17" t="str">
        <f ca="1">IF(COUNTIFS('HQ Fleet Attendance'!$O:$O,Summary!$F$2-1,'HQ Fleet Attendance'!$E:$E,Summary!$Y19,'HQ Fleet Attendance'!$N:$N,Summary!AA$6)&gt;0,"Present","Absent")</f>
        <v>Present</v>
      </c>
      <c r="AB19" s="17" t="str">
        <f ca="1">IF(COUNTIFS('HQ Fleet Attendance'!$O:$O,Summary!$F$2-1,'HQ Fleet Attendance'!$E:$E,Summary!$Y19,'HQ Fleet Attendance'!$N:$N,Summary!AB$6)&gt;0,"Present","Absent")</f>
        <v>Present</v>
      </c>
      <c r="AC19" s="17" t="str">
        <f ca="1">IF(COUNTIFS('HQ Fleet Attendance'!$O:$O,Summary!$F$2-1,'HQ Fleet Attendance'!$E:$E,Summary!$Y19,'HQ Fleet Attendance'!$N:$N,Summary!AC$6)&gt;0,"Present","Absent")</f>
        <v>Present</v>
      </c>
      <c r="AD19" s="17" t="str">
        <f ca="1">IF(COUNTIFS('HQ Fleet Attendance'!$O:$O,Summary!$F$2-1,'HQ Fleet Attendance'!$E:$E,Summary!$Y19,'HQ Fleet Attendance'!$N:$N,Summary!AD$6)&gt;0,"Present","Absent")</f>
        <v>Present</v>
      </c>
      <c r="AE19" s="17" t="str">
        <f ca="1">IF(COUNTIFS('HQ Fleet Attendance'!$O:$O,Summary!$F$2-1,'HQ Fleet Attendance'!$E:$E,Summary!$Y19,'HQ Fleet Attendance'!$N:$N,Summary!AE$6)&gt;0,"Present","Absent")</f>
        <v>Present</v>
      </c>
      <c r="AF19" s="27">
        <f t="shared" ca="1" si="10"/>
        <v>1</v>
      </c>
      <c r="AG19" s="10">
        <f ca="1">COUNTIFS('HQ Fleet Attendance'!$O:$O,Summary!$F$2-1,'HQ Fleet Attendance'!$E:$E,Summary!$Y19)</f>
        <v>24</v>
      </c>
      <c r="AH19" s="10">
        <f t="shared" ca="1" si="5"/>
        <v>1</v>
      </c>
    </row>
    <row r="20" spans="1:34" x14ac:dyDescent="0.3">
      <c r="B20" s="5"/>
    </row>
    <row r="23" spans="1:34" x14ac:dyDescent="0.3">
      <c r="A23" s="46"/>
      <c r="B23" s="46"/>
      <c r="C23" s="46"/>
    </row>
    <row r="24" spans="1:34" x14ac:dyDescent="0.3">
      <c r="A24" s="29"/>
      <c r="B24" s="30"/>
      <c r="C24" s="31"/>
    </row>
    <row r="25" spans="1:34" x14ac:dyDescent="0.3">
      <c r="B25" s="28"/>
    </row>
    <row r="26" spans="1:34" x14ac:dyDescent="0.3">
      <c r="B26" s="28"/>
    </row>
    <row r="27" spans="1:34" x14ac:dyDescent="0.3">
      <c r="B27" s="28"/>
    </row>
    <row r="28" spans="1:34" x14ac:dyDescent="0.3">
      <c r="B28" s="28"/>
    </row>
    <row r="29" spans="1:34" x14ac:dyDescent="0.3">
      <c r="B29" s="28"/>
    </row>
    <row r="30" spans="1:34" x14ac:dyDescent="0.3">
      <c r="B30" s="28"/>
    </row>
    <row r="31" spans="1:34" x14ac:dyDescent="0.3">
      <c r="B31" s="28"/>
    </row>
    <row r="32" spans="1:34" x14ac:dyDescent="0.3">
      <c r="B32" s="28"/>
    </row>
    <row r="33" spans="2:2" x14ac:dyDescent="0.3">
      <c r="B33" s="28"/>
    </row>
    <row r="34" spans="2:2" x14ac:dyDescent="0.3">
      <c r="B34" s="28"/>
    </row>
    <row r="35" spans="2:2" x14ac:dyDescent="0.3">
      <c r="B35" s="28"/>
    </row>
    <row r="36" spans="2:2" x14ac:dyDescent="0.3">
      <c r="B36" s="28"/>
    </row>
    <row r="37" spans="2:2" x14ac:dyDescent="0.3">
      <c r="B37" s="28"/>
    </row>
    <row r="38" spans="2:2" x14ac:dyDescent="0.3">
      <c r="B38" s="28"/>
    </row>
  </sheetData>
  <mergeCells count="3">
    <mergeCell ref="N5:W5"/>
    <mergeCell ref="Y5:AH5"/>
    <mergeCell ref="A5:L5"/>
  </mergeCells>
  <phoneticPr fontId="4" type="noConversion"/>
  <conditionalFormatting sqref="D7:I19">
    <cfRule type="containsText" dxfId="32" priority="9" operator="containsText" text="Absent">
      <formula>NOT(ISERROR(SEARCH("Absent",D7)))</formula>
    </cfRule>
    <cfRule type="containsText" dxfId="31" priority="10" operator="containsText" text="Present">
      <formula>NOT(ISERROR(SEARCH("Present",D7)))</formula>
    </cfRule>
  </conditionalFormatting>
  <conditionalFormatting sqref="O7:T19">
    <cfRule type="containsText" dxfId="30" priority="6" operator="containsText" text="Absent">
      <formula>NOT(ISERROR(SEARCH("Absent",O7)))</formula>
    </cfRule>
    <cfRule type="containsText" dxfId="29" priority="7" operator="containsText" text="Present">
      <formula>NOT(ISERROR(SEARCH("Present",O7)))</formula>
    </cfRule>
  </conditionalFormatting>
  <conditionalFormatting sqref="Z7:AE19">
    <cfRule type="containsText" dxfId="28" priority="4" operator="containsText" text="Absent">
      <formula>NOT(ISERROR(SEARCH("Absent",Z7)))</formula>
    </cfRule>
    <cfRule type="containsText" dxfId="27" priority="5" operator="containsText" text="Present">
      <formula>NOT(ISERROR(SEARCH("Present",Z7)))</formula>
    </cfRule>
  </conditionalFormatting>
  <conditionalFormatting sqref="J7:J19">
    <cfRule type="colorScale" priority="26">
      <colorScale>
        <cfvo type="percent" val="20"/>
        <cfvo type="percent" val="60"/>
        <color rgb="FFFF0000"/>
        <color rgb="FF00B050"/>
      </colorScale>
    </cfRule>
  </conditionalFormatting>
  <conditionalFormatting sqref="U7:U19">
    <cfRule type="colorScale" priority="27">
      <colorScale>
        <cfvo type="percent" val="20"/>
        <cfvo type="percent" val="60"/>
        <color rgb="FFFF0000"/>
        <color rgb="FF00B050"/>
      </colorScale>
    </cfRule>
  </conditionalFormatting>
  <conditionalFormatting sqref="AF7:AF19">
    <cfRule type="colorScale" priority="28">
      <colorScale>
        <cfvo type="percent" val="20"/>
        <cfvo type="percent" val="60"/>
        <color rgb="FFFF0000"/>
        <color rgb="FF00B050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AB24-F79D-4D44-811A-3529D43B702E}">
  <sheetPr>
    <tabColor rgb="FFFFC000"/>
  </sheetPr>
  <dimension ref="A1:AH33"/>
  <sheetViews>
    <sheetView zoomScale="80" zoomScaleNormal="80" workbookViewId="0">
      <selection activeCell="AA21" sqref="AA21"/>
    </sheetView>
  </sheetViews>
  <sheetFormatPr defaultRowHeight="14.4" x14ac:dyDescent="0.3"/>
  <cols>
    <col min="1" max="1" width="20.21875" bestFit="1" customWidth="1"/>
    <col min="2" max="2" width="14" customWidth="1"/>
    <col min="3" max="3" width="12.109375" bestFit="1" customWidth="1"/>
    <col min="4" max="4" width="11.5546875" bestFit="1" customWidth="1"/>
    <col min="5" max="5" width="13.44140625" customWidth="1"/>
    <col min="6" max="6" width="14.33203125" bestFit="1" customWidth="1"/>
    <col min="7" max="7" width="15.21875" bestFit="1" customWidth="1"/>
    <col min="8" max="8" width="7.6640625" bestFit="1" customWidth="1"/>
    <col min="9" max="9" width="11" customWidth="1"/>
    <col min="10" max="11" width="13.6640625" bestFit="1" customWidth="1"/>
    <col min="12" max="12" width="12.21875" bestFit="1" customWidth="1"/>
    <col min="14" max="14" width="20.21875" bestFit="1" customWidth="1"/>
    <col min="21" max="21" width="14.44140625" customWidth="1"/>
    <col min="22" max="22" width="13.6640625" bestFit="1" customWidth="1"/>
    <col min="23" max="23" width="12.21875" bestFit="1" customWidth="1"/>
    <col min="25" max="25" width="20.21875" bestFit="1" customWidth="1"/>
    <col min="32" max="33" width="13.6640625" bestFit="1" customWidth="1"/>
    <col min="34" max="34" width="12.21875" bestFit="1" customWidth="1"/>
  </cols>
  <sheetData>
    <row r="1" spans="1:34" ht="15" thickBot="1" x14ac:dyDescent="0.35">
      <c r="A1" s="6" t="str">
        <f>Summary!A$1</f>
        <v>START DATE</v>
      </c>
      <c r="B1" s="8">
        <f>Summary!B$1</f>
        <v>44741</v>
      </c>
      <c r="C1" s="9" t="str">
        <f>Summary!C$1</f>
        <v>15:03:00</v>
      </c>
      <c r="D1" s="10" t="str">
        <f>Summary!D$1</f>
        <v>Week Name</v>
      </c>
      <c r="E1" s="10" t="str">
        <f>Summary!E$1</f>
        <v>Month Name</v>
      </c>
      <c r="F1" s="33" t="str">
        <f>Summary!F$1</f>
        <v>Month Number</v>
      </c>
      <c r="G1" s="33" t="str">
        <f>Summary!G$1</f>
        <v>Week of the Year</v>
      </c>
    </row>
    <row r="2" spans="1:34" ht="15" thickBot="1" x14ac:dyDescent="0.35">
      <c r="A2" s="6" t="str">
        <f>Summary!A$2</f>
        <v>END DATE</v>
      </c>
      <c r="B2" s="11">
        <f ca="1">Summary!B$2</f>
        <v>44859</v>
      </c>
      <c r="C2" s="12" t="str">
        <f ca="1">Summary!C$2</f>
        <v>10:47:24 am</v>
      </c>
      <c r="D2" s="10" t="str">
        <f ca="1">Summary!D$2</f>
        <v>Tuesday</v>
      </c>
      <c r="E2" s="10" t="str">
        <f ca="1">Summary!E$2</f>
        <v>October</v>
      </c>
      <c r="F2" s="10">
        <f ca="1">Summary!F$2</f>
        <v>10</v>
      </c>
      <c r="G2" s="10">
        <f ca="1">Summary!G$2</f>
        <v>43</v>
      </c>
    </row>
    <row r="3" spans="1:34" ht="15" thickBot="1" x14ac:dyDescent="0.35">
      <c r="A3" s="64" t="str">
        <f ca="1">Summary!A5</f>
        <v>CURRENT WEEK ANALYSIS OF OCTOBER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N3" s="63" t="str">
        <f ca="1">"PREVIOUS WEEK ANALYSIS OF "&amp;UPPER($E$2)</f>
        <v>PREVIOUS WEEK ANALYSIS OF OCTOBER</v>
      </c>
      <c r="O3" s="63"/>
      <c r="P3" s="63"/>
      <c r="Q3" s="63"/>
      <c r="R3" s="63"/>
      <c r="S3" s="63"/>
      <c r="T3" s="63"/>
      <c r="U3" s="63"/>
      <c r="V3" s="63"/>
      <c r="W3" s="63"/>
      <c r="Y3" s="63" t="str">
        <f ca="1">Summary!Y5</f>
        <v>PREVIOUS MONTH ANALYSIS OF SEPTEMBER</v>
      </c>
      <c r="Z3" s="63"/>
      <c r="AA3" s="63"/>
      <c r="AB3" s="63"/>
      <c r="AC3" s="63"/>
      <c r="AD3" s="63"/>
      <c r="AE3" s="63"/>
      <c r="AF3" s="63"/>
      <c r="AG3" s="63"/>
      <c r="AH3" s="63"/>
    </row>
    <row r="4" spans="1:34" ht="30.6" customHeight="1" thickBot="1" x14ac:dyDescent="0.35">
      <c r="A4" s="21" t="str">
        <f>Summary!A$6</f>
        <v>Staff Name</v>
      </c>
      <c r="B4" s="36" t="str">
        <f>Summary!B$6</f>
        <v>Timestamp</v>
      </c>
      <c r="C4" s="36" t="str">
        <f>Summary!C$6</f>
        <v>Date</v>
      </c>
      <c r="D4" s="21" t="str">
        <f>Summary!D$6</f>
        <v>Monday</v>
      </c>
      <c r="E4" s="21" t="str">
        <f>Summary!E$6</f>
        <v>Tuesday</v>
      </c>
      <c r="F4" s="21" t="str">
        <f>Summary!F$6</f>
        <v>Wednesday</v>
      </c>
      <c r="G4" s="21" t="str">
        <f>Summary!G$6</f>
        <v>Thursday</v>
      </c>
      <c r="H4" s="21" t="str">
        <f>Summary!H$6</f>
        <v>Friday</v>
      </c>
      <c r="I4" s="21" t="str">
        <f>Summary!I$6</f>
        <v>Saturday</v>
      </c>
      <c r="J4" s="32" t="str">
        <f>Summary!J$6</f>
        <v>6 Working 
Days % Tracker</v>
      </c>
      <c r="K4" s="32" t="str">
        <f>Summary!K$6</f>
        <v>Days Present 
for that Month</v>
      </c>
      <c r="L4" s="32" t="str">
        <f>Summary!L$6</f>
        <v>Attendance 
Staff Ranking</v>
      </c>
      <c r="N4" s="32" t="str">
        <f>Summary!N$6</f>
        <v>Staff Name</v>
      </c>
      <c r="O4" s="32" t="str">
        <f>Summary!O$6</f>
        <v>Monday</v>
      </c>
      <c r="P4" s="32" t="str">
        <f>Summary!P$6</f>
        <v>Tuesday</v>
      </c>
      <c r="Q4" s="32" t="str">
        <f>Summary!Q$6</f>
        <v>Wednesday</v>
      </c>
      <c r="R4" s="32" t="str">
        <f>Summary!R$6</f>
        <v>Thursday</v>
      </c>
      <c r="S4" s="32" t="str">
        <f>Summary!S$6</f>
        <v>Friday</v>
      </c>
      <c r="T4" s="32" t="str">
        <f>Summary!T$6</f>
        <v>Saturday</v>
      </c>
      <c r="U4" s="32" t="str">
        <f>Summary!U$6</f>
        <v>6 Working 
Days % Tracker</v>
      </c>
      <c r="V4" s="32" t="str">
        <f>Summary!V$6</f>
        <v>Days Present 
for that Month</v>
      </c>
      <c r="W4" s="32" t="str">
        <f>Summary!W$6</f>
        <v>Attendance 
Staff Ranking</v>
      </c>
      <c r="Y4" s="32" t="str">
        <f>Summary!Y$6</f>
        <v>Staff Name</v>
      </c>
      <c r="Z4" s="32" t="str">
        <f>Summary!Z$6</f>
        <v>Monday</v>
      </c>
      <c r="AA4" s="32" t="str">
        <f>Summary!AA$6</f>
        <v>Tuesday</v>
      </c>
      <c r="AB4" s="32" t="str">
        <f>Summary!AB$6</f>
        <v>Wednesday</v>
      </c>
      <c r="AC4" s="32" t="str">
        <f>Summary!AC$6</f>
        <v>Thursday</v>
      </c>
      <c r="AD4" s="32" t="str">
        <f>Summary!AD$6</f>
        <v>Friday</v>
      </c>
      <c r="AE4" s="32" t="str">
        <f>Summary!AE$6</f>
        <v>Saturday</v>
      </c>
      <c r="AF4" s="32" t="str">
        <f>Summary!AF$6</f>
        <v>6 Working 
Days % Tracker</v>
      </c>
      <c r="AG4" s="32" t="str">
        <f>Summary!AG$6</f>
        <v>Days Present 
for that Month</v>
      </c>
      <c r="AH4" s="32" t="str">
        <f>Summary!AH$6</f>
        <v>Attendance 
Staff Ranking</v>
      </c>
    </row>
    <row r="5" spans="1:34" ht="15" thickBot="1" x14ac:dyDescent="0.35">
      <c r="A5" s="34" t="str" cm="1">
        <f t="array" aca="1" ref="A5:L17" ca="1">_xlfn._xlws.SORT(Summary!A7:L19,12)</f>
        <v>ademola_akintayo</v>
      </c>
      <c r="B5" s="37">
        <f ca="1"/>
        <v>44859.408333333333</v>
      </c>
      <c r="C5" s="26">
        <f ca="1"/>
        <v>44859</v>
      </c>
      <c r="D5" s="35" t="str">
        <f ca="1"/>
        <v>Present</v>
      </c>
      <c r="E5" s="17" t="str">
        <f ca="1"/>
        <v>Present</v>
      </c>
      <c r="F5" s="17" t="str">
        <f ca="1"/>
        <v>Absent</v>
      </c>
      <c r="G5" s="17" t="str">
        <f ca="1"/>
        <v>Absent</v>
      </c>
      <c r="H5" s="17" t="str">
        <f ca="1"/>
        <v>Absent</v>
      </c>
      <c r="I5" s="17" t="str">
        <f ca="1"/>
        <v>Absent</v>
      </c>
      <c r="J5" s="27">
        <f ca="1"/>
        <v>0.2</v>
      </c>
      <c r="K5" s="10">
        <f ca="1"/>
        <v>19</v>
      </c>
      <c r="L5" s="10">
        <f ca="1"/>
        <v>1</v>
      </c>
      <c r="N5" s="17" t="str" cm="1">
        <f t="array" aca="1" ref="N5:W17" ca="1">_xlfn._xlws.SORT(Summary!N7:W19,10)</f>
        <v>ademola_akintayo</v>
      </c>
      <c r="O5" s="17" t="str">
        <f ca="1"/>
        <v>Present</v>
      </c>
      <c r="P5" s="17" t="str">
        <f ca="1"/>
        <v>Present</v>
      </c>
      <c r="Q5" s="17" t="str">
        <f ca="1"/>
        <v>Present</v>
      </c>
      <c r="R5" s="17" t="str">
        <f ca="1"/>
        <v>Present</v>
      </c>
      <c r="S5" s="17" t="str">
        <f ca="1"/>
        <v>Present</v>
      </c>
      <c r="T5" s="17" t="str">
        <f ca="1"/>
        <v>Present</v>
      </c>
      <c r="U5" s="27">
        <f ca="1"/>
        <v>1</v>
      </c>
      <c r="V5" s="10">
        <f ca="1"/>
        <v>6</v>
      </c>
      <c r="W5" s="10">
        <f ca="1"/>
        <v>1</v>
      </c>
      <c r="Y5" s="17" t="str" cm="1">
        <f t="array" aca="1" ref="Y5:AH17" ca="1">_xlfn._xlws.SORT(Summary!Y7:AH19,10)</f>
        <v>david_jimba</v>
      </c>
      <c r="Z5" s="17" t="str">
        <f ca="1"/>
        <v>Present</v>
      </c>
      <c r="AA5" s="17" t="str">
        <f ca="1"/>
        <v>Present</v>
      </c>
      <c r="AB5" s="17" t="str">
        <f ca="1"/>
        <v>Present</v>
      </c>
      <c r="AC5" s="17" t="str">
        <f ca="1"/>
        <v>Present</v>
      </c>
      <c r="AD5" s="17" t="str">
        <f ca="1"/>
        <v>Present</v>
      </c>
      <c r="AE5" s="17" t="str">
        <f ca="1"/>
        <v>Present</v>
      </c>
      <c r="AF5" s="27">
        <f ca="1"/>
        <v>1</v>
      </c>
      <c r="AG5" s="10">
        <f ca="1"/>
        <v>26</v>
      </c>
      <c r="AH5" s="10">
        <f ca="1"/>
        <v>1</v>
      </c>
    </row>
    <row r="6" spans="1:34" ht="15" thickBot="1" x14ac:dyDescent="0.35">
      <c r="A6" s="34" t="str">
        <f ca="1"/>
        <v>ayo_bamidele</v>
      </c>
      <c r="B6" s="37">
        <f ca="1"/>
        <v>44859.407638888886</v>
      </c>
      <c r="C6" s="26">
        <f ca="1"/>
        <v>44859</v>
      </c>
      <c r="D6" s="35" t="str">
        <f ca="1"/>
        <v>Present</v>
      </c>
      <c r="E6" s="17" t="str">
        <f ca="1"/>
        <v>Present</v>
      </c>
      <c r="F6" s="17" t="str">
        <f ca="1"/>
        <v>Absent</v>
      </c>
      <c r="G6" s="17" t="str">
        <f ca="1"/>
        <v>Absent</v>
      </c>
      <c r="H6" s="17" t="str">
        <f ca="1"/>
        <v>Absent</v>
      </c>
      <c r="I6" s="17" t="str">
        <f ca="1"/>
        <v>Absent</v>
      </c>
      <c r="J6" s="27">
        <f ca="1"/>
        <v>0.2</v>
      </c>
      <c r="K6" s="10">
        <f ca="1"/>
        <v>19</v>
      </c>
      <c r="L6" s="10">
        <f ca="1"/>
        <v>1</v>
      </c>
      <c r="N6" s="17" t="str">
        <f ca="1"/>
        <v>ayo_bamidele</v>
      </c>
      <c r="O6" s="17" t="str">
        <f ca="1"/>
        <v>Present</v>
      </c>
      <c r="P6" s="17" t="str">
        <f ca="1"/>
        <v>Present</v>
      </c>
      <c r="Q6" s="17" t="str">
        <f ca="1"/>
        <v>Present</v>
      </c>
      <c r="R6" s="17" t="str">
        <f ca="1"/>
        <v>Present</v>
      </c>
      <c r="S6" s="17" t="str">
        <f ca="1"/>
        <v>Present</v>
      </c>
      <c r="T6" s="17" t="str">
        <f ca="1"/>
        <v>Present</v>
      </c>
      <c r="U6" s="27">
        <f ca="1"/>
        <v>1</v>
      </c>
      <c r="V6" s="10">
        <f ca="1"/>
        <v>6</v>
      </c>
      <c r="W6" s="10">
        <f ca="1"/>
        <v>1</v>
      </c>
      <c r="Y6" s="17" t="str">
        <f ca="1"/>
        <v>joseph_akpan</v>
      </c>
      <c r="Z6" s="17" t="str">
        <f ca="1"/>
        <v>Present</v>
      </c>
      <c r="AA6" s="17" t="str">
        <f ca="1"/>
        <v>Present</v>
      </c>
      <c r="AB6" s="17" t="str">
        <f ca="1"/>
        <v>Present</v>
      </c>
      <c r="AC6" s="17" t="str">
        <f ca="1"/>
        <v>Present</v>
      </c>
      <c r="AD6" s="17" t="str">
        <f ca="1"/>
        <v>Present</v>
      </c>
      <c r="AE6" s="17" t="str">
        <f ca="1"/>
        <v>Present</v>
      </c>
      <c r="AF6" s="27">
        <f ca="1"/>
        <v>1</v>
      </c>
      <c r="AG6" s="10">
        <f ca="1"/>
        <v>25</v>
      </c>
      <c r="AH6" s="10">
        <f ca="1"/>
        <v>1</v>
      </c>
    </row>
    <row r="7" spans="1:34" ht="15" thickBot="1" x14ac:dyDescent="0.35">
      <c r="A7" s="34" t="str">
        <f ca="1"/>
        <v>david_jimba</v>
      </c>
      <c r="B7" s="37">
        <f ca="1"/>
        <v>44859.408333333333</v>
      </c>
      <c r="C7" s="26">
        <f ca="1"/>
        <v>44859</v>
      </c>
      <c r="D7" s="35" t="str">
        <f ca="1"/>
        <v>Present</v>
      </c>
      <c r="E7" s="17" t="str">
        <f ca="1"/>
        <v>Present</v>
      </c>
      <c r="F7" s="17" t="str">
        <f ca="1"/>
        <v>Absent</v>
      </c>
      <c r="G7" s="17" t="str">
        <f ca="1"/>
        <v>Absent</v>
      </c>
      <c r="H7" s="17" t="str">
        <f ca="1"/>
        <v>Absent</v>
      </c>
      <c r="I7" s="17" t="str">
        <f ca="1"/>
        <v>Absent</v>
      </c>
      <c r="J7" s="27">
        <f ca="1"/>
        <v>0.2</v>
      </c>
      <c r="K7" s="10">
        <f ca="1"/>
        <v>19</v>
      </c>
      <c r="L7" s="10">
        <f ca="1"/>
        <v>1</v>
      </c>
      <c r="N7" s="17" t="str">
        <f ca="1"/>
        <v>chibuzo_nwankwo</v>
      </c>
      <c r="O7" s="17" t="str">
        <f ca="1"/>
        <v>Present</v>
      </c>
      <c r="P7" s="17" t="str">
        <f ca="1"/>
        <v>Present</v>
      </c>
      <c r="Q7" s="17" t="str">
        <f ca="1"/>
        <v>Present</v>
      </c>
      <c r="R7" s="17" t="str">
        <f ca="1"/>
        <v>Present</v>
      </c>
      <c r="S7" s="17" t="str">
        <f ca="1"/>
        <v>Present</v>
      </c>
      <c r="T7" s="17" t="str">
        <f ca="1"/>
        <v>Present</v>
      </c>
      <c r="U7" s="27">
        <f ca="1"/>
        <v>1</v>
      </c>
      <c r="V7" s="10">
        <f ca="1"/>
        <v>6</v>
      </c>
      <c r="W7" s="10">
        <f ca="1"/>
        <v>1</v>
      </c>
      <c r="Y7" s="17" t="str">
        <f ca="1"/>
        <v>ogunlade_samuel_tope</v>
      </c>
      <c r="Z7" s="17" t="str">
        <f ca="1"/>
        <v>Present</v>
      </c>
      <c r="AA7" s="17" t="str">
        <f ca="1"/>
        <v>Present</v>
      </c>
      <c r="AB7" s="17" t="str">
        <f ca="1"/>
        <v>Present</v>
      </c>
      <c r="AC7" s="17" t="str">
        <f ca="1"/>
        <v>Present</v>
      </c>
      <c r="AD7" s="17" t="str">
        <f ca="1"/>
        <v>Present</v>
      </c>
      <c r="AE7" s="17" t="str">
        <f ca="1"/>
        <v>Present</v>
      </c>
      <c r="AF7" s="27">
        <f ca="1"/>
        <v>1</v>
      </c>
      <c r="AG7" s="10">
        <f ca="1"/>
        <v>25</v>
      </c>
      <c r="AH7" s="10">
        <f ca="1"/>
        <v>1</v>
      </c>
    </row>
    <row r="8" spans="1:34" ht="15" thickBot="1" x14ac:dyDescent="0.35">
      <c r="A8" s="34" t="str">
        <f ca="1"/>
        <v>joseph_akpan</v>
      </c>
      <c r="B8" s="37">
        <f ca="1"/>
        <v>44859.408333333333</v>
      </c>
      <c r="C8" s="26">
        <f ca="1"/>
        <v>44859</v>
      </c>
      <c r="D8" s="35" t="str">
        <f ca="1"/>
        <v>Present</v>
      </c>
      <c r="E8" s="17" t="str">
        <f ca="1"/>
        <v>Present</v>
      </c>
      <c r="F8" s="17" t="str">
        <f ca="1"/>
        <v>Absent</v>
      </c>
      <c r="G8" s="17" t="str">
        <f ca="1"/>
        <v>Absent</v>
      </c>
      <c r="H8" s="17" t="str">
        <f ca="1"/>
        <v>Absent</v>
      </c>
      <c r="I8" s="17" t="str">
        <f ca="1"/>
        <v>Absent</v>
      </c>
      <c r="J8" s="27">
        <f ca="1"/>
        <v>0.2</v>
      </c>
      <c r="K8" s="10">
        <f ca="1"/>
        <v>19</v>
      </c>
      <c r="L8" s="10">
        <f ca="1"/>
        <v>1</v>
      </c>
      <c r="N8" s="17" t="str">
        <f ca="1"/>
        <v>david_jimba</v>
      </c>
      <c r="O8" s="17" t="str">
        <f ca="1"/>
        <v>Present</v>
      </c>
      <c r="P8" s="17" t="str">
        <f ca="1"/>
        <v>Present</v>
      </c>
      <c r="Q8" s="17" t="str">
        <f ca="1"/>
        <v>Present</v>
      </c>
      <c r="R8" s="17" t="str">
        <f ca="1"/>
        <v>Present</v>
      </c>
      <c r="S8" s="17" t="str">
        <f ca="1"/>
        <v>Present</v>
      </c>
      <c r="T8" s="17" t="str">
        <f ca="1"/>
        <v>Present</v>
      </c>
      <c r="U8" s="27">
        <f ca="1"/>
        <v>1</v>
      </c>
      <c r="V8" s="10">
        <f ca="1"/>
        <v>6</v>
      </c>
      <c r="W8" s="10">
        <f ca="1"/>
        <v>1</v>
      </c>
      <c r="Y8" s="17" t="str">
        <f ca="1"/>
        <v>paul_oyelaran</v>
      </c>
      <c r="Z8" s="17" t="str">
        <f ca="1"/>
        <v>Present</v>
      </c>
      <c r="AA8" s="17" t="str">
        <f ca="1"/>
        <v>Present</v>
      </c>
      <c r="AB8" s="17" t="str">
        <f ca="1"/>
        <v>Present</v>
      </c>
      <c r="AC8" s="17" t="str">
        <f ca="1"/>
        <v>Present</v>
      </c>
      <c r="AD8" s="17" t="str">
        <f ca="1"/>
        <v>Present</v>
      </c>
      <c r="AE8" s="17" t="str">
        <f ca="1"/>
        <v>Present</v>
      </c>
      <c r="AF8" s="27">
        <f ca="1"/>
        <v>1</v>
      </c>
      <c r="AG8" s="10">
        <f ca="1"/>
        <v>24</v>
      </c>
      <c r="AH8" s="10">
        <f ca="1"/>
        <v>1</v>
      </c>
    </row>
    <row r="9" spans="1:34" ht="15" thickBot="1" x14ac:dyDescent="0.35">
      <c r="A9" s="34" t="str">
        <f ca="1"/>
        <v>kenedy_onaise</v>
      </c>
      <c r="B9" s="37">
        <f ca="1"/>
        <v>44859.408333333333</v>
      </c>
      <c r="C9" s="26">
        <f ca="1"/>
        <v>44859</v>
      </c>
      <c r="D9" s="35" t="str">
        <f ca="1"/>
        <v>Present</v>
      </c>
      <c r="E9" s="17" t="str">
        <f ca="1"/>
        <v>Present</v>
      </c>
      <c r="F9" s="17" t="str">
        <f ca="1"/>
        <v>Absent</v>
      </c>
      <c r="G9" s="17" t="str">
        <f ca="1"/>
        <v>Absent</v>
      </c>
      <c r="H9" s="17" t="str">
        <f ca="1"/>
        <v>Absent</v>
      </c>
      <c r="I9" s="17" t="str">
        <f ca="1"/>
        <v>Absent</v>
      </c>
      <c r="J9" s="27">
        <f ca="1"/>
        <v>0.2</v>
      </c>
      <c r="K9" s="10">
        <f ca="1"/>
        <v>19</v>
      </c>
      <c r="L9" s="10">
        <f ca="1"/>
        <v>1</v>
      </c>
      <c r="N9" s="17" t="str">
        <f ca="1"/>
        <v>joseph_akpan</v>
      </c>
      <c r="O9" s="17" t="str">
        <f ca="1"/>
        <v>Present</v>
      </c>
      <c r="P9" s="17" t="str">
        <f ca="1"/>
        <v>Present</v>
      </c>
      <c r="Q9" s="17" t="str">
        <f ca="1"/>
        <v>Present</v>
      </c>
      <c r="R9" s="17" t="str">
        <f ca="1"/>
        <v>Present</v>
      </c>
      <c r="S9" s="17" t="str">
        <f ca="1"/>
        <v>Present</v>
      </c>
      <c r="T9" s="17" t="str">
        <f ca="1"/>
        <v>Present</v>
      </c>
      <c r="U9" s="27">
        <f ca="1"/>
        <v>1</v>
      </c>
      <c r="V9" s="10">
        <f ca="1"/>
        <v>6</v>
      </c>
      <c r="W9" s="10">
        <f ca="1"/>
        <v>1</v>
      </c>
      <c r="Y9" s="17" t="str">
        <f ca="1"/>
        <v>titilayo_esther</v>
      </c>
      <c r="Z9" s="17" t="str">
        <f ca="1"/>
        <v>Present</v>
      </c>
      <c r="AA9" s="17" t="str">
        <f ca="1"/>
        <v>Present</v>
      </c>
      <c r="AB9" s="17" t="str">
        <f ca="1"/>
        <v>Present</v>
      </c>
      <c r="AC9" s="17" t="str">
        <f ca="1"/>
        <v>Present</v>
      </c>
      <c r="AD9" s="17" t="str">
        <f ca="1"/>
        <v>Present</v>
      </c>
      <c r="AE9" s="17" t="str">
        <f ca="1"/>
        <v>Present</v>
      </c>
      <c r="AF9" s="27">
        <f ca="1"/>
        <v>1</v>
      </c>
      <c r="AG9" s="10">
        <f ca="1"/>
        <v>24</v>
      </c>
      <c r="AH9" s="10">
        <f ca="1"/>
        <v>1</v>
      </c>
    </row>
    <row r="10" spans="1:34" ht="15" thickBot="1" x14ac:dyDescent="0.35">
      <c r="A10" s="34" t="str">
        <f ca="1"/>
        <v>paul_oyelaran</v>
      </c>
      <c r="B10" s="37">
        <f ca="1"/>
        <v>44859.408333333333</v>
      </c>
      <c r="C10" s="26">
        <f ca="1"/>
        <v>44859</v>
      </c>
      <c r="D10" s="35" t="str">
        <f ca="1"/>
        <v>Present</v>
      </c>
      <c r="E10" s="17" t="str">
        <f ca="1"/>
        <v>Present</v>
      </c>
      <c r="F10" s="17" t="str">
        <f ca="1"/>
        <v>Absent</v>
      </c>
      <c r="G10" s="17" t="str">
        <f ca="1"/>
        <v>Absent</v>
      </c>
      <c r="H10" s="17" t="str">
        <f ca="1"/>
        <v>Absent</v>
      </c>
      <c r="I10" s="17" t="str">
        <f ca="1"/>
        <v>Absent</v>
      </c>
      <c r="J10" s="27">
        <f ca="1"/>
        <v>0.2</v>
      </c>
      <c r="K10" s="10">
        <f ca="1"/>
        <v>19</v>
      </c>
      <c r="L10" s="10">
        <f ca="1"/>
        <v>1</v>
      </c>
      <c r="N10" s="17" t="str">
        <f ca="1"/>
        <v>kenedy_onaise</v>
      </c>
      <c r="O10" s="17" t="str">
        <f ca="1"/>
        <v>Present</v>
      </c>
      <c r="P10" s="17" t="str">
        <f ca="1"/>
        <v>Present</v>
      </c>
      <c r="Q10" s="17" t="str">
        <f ca="1"/>
        <v>Present</v>
      </c>
      <c r="R10" s="17" t="str">
        <f ca="1"/>
        <v>Present</v>
      </c>
      <c r="S10" s="17" t="str">
        <f ca="1"/>
        <v>Present</v>
      </c>
      <c r="T10" s="17" t="str">
        <f ca="1"/>
        <v>Present</v>
      </c>
      <c r="U10" s="27">
        <f ca="1"/>
        <v>1</v>
      </c>
      <c r="V10" s="10">
        <f ca="1"/>
        <v>6</v>
      </c>
      <c r="W10" s="10">
        <f ca="1"/>
        <v>1</v>
      </c>
      <c r="Y10" s="17" t="str">
        <f ca="1"/>
        <v>ademola_akintayo</v>
      </c>
      <c r="Z10" s="17" t="str">
        <f ca="1"/>
        <v>Present</v>
      </c>
      <c r="AA10" s="17" t="str">
        <f ca="1"/>
        <v>Present</v>
      </c>
      <c r="AB10" s="17" t="str">
        <f ca="1"/>
        <v>Present</v>
      </c>
      <c r="AC10" s="17" t="str">
        <f ca="1"/>
        <v>Present</v>
      </c>
      <c r="AD10" s="17" t="str">
        <f ca="1"/>
        <v>Present</v>
      </c>
      <c r="AE10" s="17" t="str">
        <f ca="1"/>
        <v>Present</v>
      </c>
      <c r="AF10" s="27">
        <f ca="1"/>
        <v>1</v>
      </c>
      <c r="AG10" s="10">
        <f ca="1"/>
        <v>25</v>
      </c>
      <c r="AH10" s="10">
        <f ca="1"/>
        <v>2</v>
      </c>
    </row>
    <row r="11" spans="1:34" ht="15" thickBot="1" x14ac:dyDescent="0.35">
      <c r="A11" s="34" t="str">
        <f ca="1"/>
        <v>titilayo_esther</v>
      </c>
      <c r="B11" s="37">
        <f ca="1"/>
        <v>44859.408333333333</v>
      </c>
      <c r="C11" s="26">
        <f ca="1"/>
        <v>44859</v>
      </c>
      <c r="D11" s="35" t="str">
        <f ca="1"/>
        <v>Present</v>
      </c>
      <c r="E11" s="17" t="str">
        <f ca="1"/>
        <v>Present</v>
      </c>
      <c r="F11" s="17" t="str">
        <f ca="1"/>
        <v>Absent</v>
      </c>
      <c r="G11" s="17" t="str">
        <f ca="1"/>
        <v>Absent</v>
      </c>
      <c r="H11" s="17" t="str">
        <f ca="1"/>
        <v>Absent</v>
      </c>
      <c r="I11" s="17" t="str">
        <f ca="1"/>
        <v>Absent</v>
      </c>
      <c r="J11" s="27">
        <f ca="1"/>
        <v>0.2</v>
      </c>
      <c r="K11" s="10">
        <f ca="1"/>
        <v>19</v>
      </c>
      <c r="L11" s="10">
        <f ca="1"/>
        <v>1</v>
      </c>
      <c r="N11" s="17" t="str">
        <f ca="1"/>
        <v>ogunlade_samuel_tope</v>
      </c>
      <c r="O11" s="17" t="str">
        <f ca="1"/>
        <v>Present</v>
      </c>
      <c r="P11" s="17" t="str">
        <f ca="1"/>
        <v>Present</v>
      </c>
      <c r="Q11" s="17" t="str">
        <f ca="1"/>
        <v>Present</v>
      </c>
      <c r="R11" s="17" t="str">
        <f ca="1"/>
        <v>Present</v>
      </c>
      <c r="S11" s="17" t="str">
        <f ca="1"/>
        <v>Present</v>
      </c>
      <c r="T11" s="17" t="str">
        <f ca="1"/>
        <v>Present</v>
      </c>
      <c r="U11" s="27">
        <f ca="1"/>
        <v>1</v>
      </c>
      <c r="V11" s="10">
        <f ca="1"/>
        <v>6</v>
      </c>
      <c r="W11" s="10">
        <f ca="1"/>
        <v>1</v>
      </c>
      <c r="Y11" s="17" t="str">
        <f ca="1"/>
        <v>oluwaseun_corper</v>
      </c>
      <c r="Z11" s="17" t="str">
        <f ca="1"/>
        <v>Present</v>
      </c>
      <c r="AA11" s="17" t="str">
        <f ca="1"/>
        <v>Present</v>
      </c>
      <c r="AB11" s="17" t="str">
        <f ca="1"/>
        <v>Absent</v>
      </c>
      <c r="AC11" s="17" t="str">
        <f ca="1"/>
        <v>Present</v>
      </c>
      <c r="AD11" s="17" t="str">
        <f ca="1"/>
        <v>Present</v>
      </c>
      <c r="AE11" s="17" t="str">
        <f ca="1"/>
        <v>Absent</v>
      </c>
      <c r="AF11" s="27">
        <f ca="1"/>
        <v>0.6</v>
      </c>
      <c r="AG11" s="10">
        <f ca="1"/>
        <v>14</v>
      </c>
      <c r="AH11" s="10">
        <f ca="1"/>
        <v>3</v>
      </c>
    </row>
    <row r="12" spans="1:34" ht="15" thickBot="1" x14ac:dyDescent="0.35">
      <c r="A12" s="34" t="str">
        <f ca="1"/>
        <v>michael_omotosho</v>
      </c>
      <c r="B12" s="37">
        <f ca="1"/>
        <v>44859.40902777778</v>
      </c>
      <c r="C12" s="26">
        <f ca="1"/>
        <v>44859</v>
      </c>
      <c r="D12" s="35" t="str">
        <f ca="1"/>
        <v>Present</v>
      </c>
      <c r="E12" s="17" t="str">
        <f ca="1"/>
        <v>Present</v>
      </c>
      <c r="F12" s="17" t="str">
        <f ca="1"/>
        <v>Absent</v>
      </c>
      <c r="G12" s="17" t="str">
        <f ca="1"/>
        <v>Absent</v>
      </c>
      <c r="H12" s="17" t="str">
        <f ca="1"/>
        <v>Absent</v>
      </c>
      <c r="I12" s="17" t="str">
        <f ca="1"/>
        <v>Absent</v>
      </c>
      <c r="J12" s="27">
        <f ca="1"/>
        <v>0.2</v>
      </c>
      <c r="K12" s="10">
        <f ca="1"/>
        <v>15</v>
      </c>
      <c r="L12" s="10">
        <f ca="1"/>
        <v>3</v>
      </c>
      <c r="N12" s="17" t="str">
        <f ca="1"/>
        <v>paul_oyelaran</v>
      </c>
      <c r="O12" s="17" t="str">
        <f ca="1"/>
        <v>Present</v>
      </c>
      <c r="P12" s="17" t="str">
        <f ca="1"/>
        <v>Present</v>
      </c>
      <c r="Q12" s="17" t="str">
        <f ca="1"/>
        <v>Present</v>
      </c>
      <c r="R12" s="17" t="str">
        <f ca="1"/>
        <v>Present</v>
      </c>
      <c r="S12" s="17" t="str">
        <f ca="1"/>
        <v>Present</v>
      </c>
      <c r="T12" s="17" t="str">
        <f ca="1"/>
        <v>Present</v>
      </c>
      <c r="U12" s="27">
        <f ca="1"/>
        <v>1</v>
      </c>
      <c r="V12" s="10">
        <f ca="1"/>
        <v>6</v>
      </c>
      <c r="W12" s="10">
        <f ca="1"/>
        <v>1</v>
      </c>
      <c r="Y12" s="17" t="str">
        <f ca="1"/>
        <v>chibuzo_nwankwo</v>
      </c>
      <c r="Z12" s="17" t="str">
        <f ca="1"/>
        <v>Present</v>
      </c>
      <c r="AA12" s="17" t="str">
        <f ca="1"/>
        <v>Present</v>
      </c>
      <c r="AB12" s="17" t="str">
        <f ca="1"/>
        <v>Present</v>
      </c>
      <c r="AC12" s="17" t="str">
        <f ca="1"/>
        <v>Present</v>
      </c>
      <c r="AD12" s="17" t="str">
        <f ca="1"/>
        <v>Present</v>
      </c>
      <c r="AE12" s="17" t="str">
        <f ca="1"/>
        <v>Present</v>
      </c>
      <c r="AF12" s="27">
        <f ca="1"/>
        <v>1</v>
      </c>
      <c r="AG12" s="10">
        <f ca="1"/>
        <v>24</v>
      </c>
      <c r="AH12" s="10">
        <f ca="1"/>
        <v>4</v>
      </c>
    </row>
    <row r="13" spans="1:34" ht="15" thickBot="1" x14ac:dyDescent="0.35">
      <c r="A13" s="34" t="str">
        <f ca="1"/>
        <v>ogunlade_samuel_tope</v>
      </c>
      <c r="B13" s="37">
        <f ca="1"/>
        <v>44859.40902777778</v>
      </c>
      <c r="C13" s="26">
        <f ca="1"/>
        <v>44859</v>
      </c>
      <c r="D13" s="35" t="str">
        <f ca="1"/>
        <v>Present</v>
      </c>
      <c r="E13" s="17" t="str">
        <f ca="1"/>
        <v>Present</v>
      </c>
      <c r="F13" s="17" t="str">
        <f ca="1"/>
        <v>Absent</v>
      </c>
      <c r="G13" s="17" t="str">
        <f ca="1"/>
        <v>Absent</v>
      </c>
      <c r="H13" s="17" t="str">
        <f ca="1"/>
        <v>Absent</v>
      </c>
      <c r="I13" s="17" t="str">
        <f ca="1"/>
        <v>Absent</v>
      </c>
      <c r="J13" s="27">
        <f ca="1"/>
        <v>0.2</v>
      </c>
      <c r="K13" s="10">
        <f ca="1"/>
        <v>14</v>
      </c>
      <c r="L13" s="10">
        <f ca="1"/>
        <v>3</v>
      </c>
      <c r="N13" s="17" t="str">
        <f ca="1"/>
        <v>titilayo_esther</v>
      </c>
      <c r="O13" s="17" t="str">
        <f ca="1"/>
        <v>Present</v>
      </c>
      <c r="P13" s="17" t="str">
        <f ca="1"/>
        <v>Present</v>
      </c>
      <c r="Q13" s="17" t="str">
        <f ca="1"/>
        <v>Present</v>
      </c>
      <c r="R13" s="17" t="str">
        <f ca="1"/>
        <v>Present</v>
      </c>
      <c r="S13" s="17" t="str">
        <f ca="1"/>
        <v>Present</v>
      </c>
      <c r="T13" s="17" t="str">
        <f ca="1"/>
        <v>Present</v>
      </c>
      <c r="U13" s="27">
        <f ca="1"/>
        <v>1</v>
      </c>
      <c r="V13" s="10">
        <f ca="1"/>
        <v>6</v>
      </c>
      <c r="W13" s="10">
        <f ca="1"/>
        <v>1</v>
      </c>
      <c r="Y13" s="17" t="str">
        <f ca="1"/>
        <v>kenedy_onaise</v>
      </c>
      <c r="Z13" s="17" t="str">
        <f ca="1"/>
        <v>Present</v>
      </c>
      <c r="AA13" s="17" t="str">
        <f ca="1"/>
        <v>Present</v>
      </c>
      <c r="AB13" s="17" t="str">
        <f ca="1"/>
        <v>Present</v>
      </c>
      <c r="AC13" s="17" t="str">
        <f ca="1"/>
        <v>Present</v>
      </c>
      <c r="AD13" s="17" t="str">
        <f ca="1"/>
        <v>Present</v>
      </c>
      <c r="AE13" s="17" t="str">
        <f ca="1"/>
        <v>Present</v>
      </c>
      <c r="AF13" s="27">
        <f ca="1"/>
        <v>1</v>
      </c>
      <c r="AG13" s="10">
        <f ca="1"/>
        <v>21</v>
      </c>
      <c r="AH13" s="10">
        <f ca="1"/>
        <v>4</v>
      </c>
    </row>
    <row r="14" spans="1:34" ht="15" thickBot="1" x14ac:dyDescent="0.35">
      <c r="A14" s="34" t="str">
        <f ca="1"/>
        <v>oluwaseun_corper</v>
      </c>
      <c r="B14" s="37">
        <f ca="1"/>
        <v>44859.40902777778</v>
      </c>
      <c r="C14" s="26">
        <f ca="1"/>
        <v>44859</v>
      </c>
      <c r="D14" s="35" t="str">
        <f ca="1"/>
        <v>Present</v>
      </c>
      <c r="E14" s="17" t="str">
        <f ca="1"/>
        <v>Present</v>
      </c>
      <c r="F14" s="17" t="str">
        <f ca="1"/>
        <v>Absent</v>
      </c>
      <c r="G14" s="17" t="str">
        <f ca="1"/>
        <v>Absent</v>
      </c>
      <c r="H14" s="17" t="str">
        <f ca="1"/>
        <v>Absent</v>
      </c>
      <c r="I14" s="17" t="str">
        <f ca="1"/>
        <v>Absent</v>
      </c>
      <c r="J14" s="27">
        <f ca="1"/>
        <v>0.2</v>
      </c>
      <c r="K14" s="10">
        <f ca="1"/>
        <v>11</v>
      </c>
      <c r="L14" s="10">
        <f ca="1"/>
        <v>3</v>
      </c>
      <c r="N14" s="17" t="str">
        <f ca="1"/>
        <v>oluwaseun_corper</v>
      </c>
      <c r="O14" s="17" t="str">
        <f ca="1"/>
        <v>Present</v>
      </c>
      <c r="P14" s="17" t="str">
        <f ca="1"/>
        <v>Present</v>
      </c>
      <c r="Q14" s="17" t="str">
        <f ca="1"/>
        <v>Absent</v>
      </c>
      <c r="R14" s="17" t="str">
        <f ca="1"/>
        <v>Present</v>
      </c>
      <c r="S14" s="17" t="str">
        <f ca="1"/>
        <v>Present</v>
      </c>
      <c r="T14" s="17" t="str">
        <f ca="1"/>
        <v>Absent</v>
      </c>
      <c r="U14" s="27">
        <f ca="1"/>
        <v>0.6</v>
      </c>
      <c r="V14" s="10">
        <f ca="1"/>
        <v>4</v>
      </c>
      <c r="W14" s="10">
        <f ca="1"/>
        <v>3</v>
      </c>
      <c r="Y14" s="17" t="str">
        <f ca="1"/>
        <v>michael_omotosho</v>
      </c>
      <c r="Z14" s="17" t="str">
        <f ca="1"/>
        <v>Present</v>
      </c>
      <c r="AA14" s="17" t="str">
        <f ca="1"/>
        <v>Present</v>
      </c>
      <c r="AB14" s="17" t="str">
        <f ca="1"/>
        <v>Present</v>
      </c>
      <c r="AC14" s="17" t="str">
        <f ca="1"/>
        <v>Present</v>
      </c>
      <c r="AD14" s="17" t="str">
        <f ca="1"/>
        <v>Present</v>
      </c>
      <c r="AE14" s="17" t="str">
        <f ca="1"/>
        <v>Absent</v>
      </c>
      <c r="AF14" s="27">
        <f ca="1"/>
        <v>0.8</v>
      </c>
      <c r="AG14" s="10">
        <f ca="1"/>
        <v>21</v>
      </c>
      <c r="AH14" s="10">
        <f ca="1"/>
        <v>4</v>
      </c>
    </row>
    <row r="15" spans="1:34" ht="15" thickBot="1" x14ac:dyDescent="0.35">
      <c r="A15" s="34" t="str">
        <f ca="1"/>
        <v>babatunde_afeez</v>
      </c>
      <c r="B15" s="37">
        <f ca="1"/>
        <v>44859.408333333333</v>
      </c>
      <c r="C15" s="26">
        <f ca="1"/>
        <v>44859</v>
      </c>
      <c r="D15" s="35" t="str">
        <f ca="1"/>
        <v>Present</v>
      </c>
      <c r="E15" s="17" t="str">
        <f ca="1"/>
        <v>Present</v>
      </c>
      <c r="F15" s="17" t="str">
        <f ca="1"/>
        <v>Absent</v>
      </c>
      <c r="G15" s="17" t="str">
        <f ca="1"/>
        <v>Absent</v>
      </c>
      <c r="H15" s="17" t="str">
        <f ca="1"/>
        <v>Absent</v>
      </c>
      <c r="I15" s="17" t="str">
        <f ca="1"/>
        <v>Absent</v>
      </c>
      <c r="J15" s="27">
        <f ca="1"/>
        <v>0.2</v>
      </c>
      <c r="K15" s="10">
        <f ca="1"/>
        <v>16</v>
      </c>
      <c r="L15" s="10">
        <f ca="1"/>
        <v>6</v>
      </c>
      <c r="N15" s="17" t="str">
        <f ca="1"/>
        <v>michael_omotosho</v>
      </c>
      <c r="O15" s="17" t="str">
        <f ca="1"/>
        <v>Present</v>
      </c>
      <c r="P15" s="17" t="str">
        <f ca="1"/>
        <v>Present</v>
      </c>
      <c r="Q15" s="17" t="str">
        <f ca="1"/>
        <v>Present</v>
      </c>
      <c r="R15" s="17" t="str">
        <f ca="1"/>
        <v>Present</v>
      </c>
      <c r="S15" s="17" t="str">
        <f ca="1"/>
        <v>Present</v>
      </c>
      <c r="T15" s="17" t="str">
        <f ca="1"/>
        <v>Absent</v>
      </c>
      <c r="U15" s="27">
        <f ca="1"/>
        <v>0.8</v>
      </c>
      <c r="V15" s="10">
        <f ca="1"/>
        <v>5</v>
      </c>
      <c r="W15" s="10">
        <f ca="1"/>
        <v>4</v>
      </c>
      <c r="Y15" s="17" t="str">
        <f ca="1"/>
        <v>ayo_bamidele</v>
      </c>
      <c r="Z15" s="17" t="str">
        <f ca="1"/>
        <v>Present</v>
      </c>
      <c r="AA15" s="17" t="str">
        <f ca="1"/>
        <v>Present</v>
      </c>
      <c r="AB15" s="17" t="str">
        <f ca="1"/>
        <v>Present</v>
      </c>
      <c r="AC15" s="17" t="str">
        <f ca="1"/>
        <v>Present</v>
      </c>
      <c r="AD15" s="17" t="str">
        <f ca="1"/>
        <v>Present</v>
      </c>
      <c r="AE15" s="17" t="str">
        <f ca="1"/>
        <v>Present</v>
      </c>
      <c r="AF15" s="27">
        <f ca="1"/>
        <v>1</v>
      </c>
      <c r="AG15" s="10">
        <f ca="1"/>
        <v>22</v>
      </c>
      <c r="AH15" s="10">
        <f ca="1"/>
        <v>7</v>
      </c>
    </row>
    <row r="16" spans="1:34" ht="15" thickBot="1" x14ac:dyDescent="0.35">
      <c r="A16" s="34" t="str">
        <f ca="1"/>
        <v>chibuzo_nwankwo</v>
      </c>
      <c r="B16" s="37">
        <f ca="1"/>
        <v>44859.408333333333</v>
      </c>
      <c r="C16" s="26">
        <f ca="1"/>
        <v>44859</v>
      </c>
      <c r="D16" s="35" t="str">
        <f ca="1"/>
        <v>Present</v>
      </c>
      <c r="E16" s="17" t="str">
        <f ca="1"/>
        <v>Present</v>
      </c>
      <c r="F16" s="17" t="str">
        <f ca="1"/>
        <v>Absent</v>
      </c>
      <c r="G16" s="17" t="str">
        <f ca="1"/>
        <v>Absent</v>
      </c>
      <c r="H16" s="17" t="str">
        <f ca="1"/>
        <v>Absent</v>
      </c>
      <c r="I16" s="17" t="str">
        <f ca="1"/>
        <v>Absent</v>
      </c>
      <c r="J16" s="27">
        <f ca="1"/>
        <v>0.2</v>
      </c>
      <c r="K16" s="10">
        <f ca="1"/>
        <v>15</v>
      </c>
      <c r="L16" s="10">
        <f ca="1"/>
        <v>6</v>
      </c>
      <c r="N16" s="17" t="str">
        <f ca="1"/>
        <v>babatunde_afeez</v>
      </c>
      <c r="O16" s="17" t="str">
        <f ca="1"/>
        <v>Present</v>
      </c>
      <c r="P16" s="17" t="str">
        <f ca="1"/>
        <v>Present</v>
      </c>
      <c r="Q16" s="17" t="str">
        <f ca="1"/>
        <v>Present</v>
      </c>
      <c r="R16" s="17" t="str">
        <f ca="1"/>
        <v>Present</v>
      </c>
      <c r="S16" s="17" t="str">
        <f ca="1"/>
        <v>Present</v>
      </c>
      <c r="T16" s="17" t="str">
        <f ca="1"/>
        <v>Absent</v>
      </c>
      <c r="U16" s="27">
        <f ca="1"/>
        <v>0.8</v>
      </c>
      <c r="V16" s="10">
        <f ca="1"/>
        <v>5</v>
      </c>
      <c r="W16" s="10">
        <f ca="1"/>
        <v>8</v>
      </c>
      <c r="Y16" s="17" t="str">
        <f ca="1"/>
        <v>babatunde_afeez</v>
      </c>
      <c r="Z16" s="17" t="str">
        <f ca="1"/>
        <v>Present</v>
      </c>
      <c r="AA16" s="17" t="str">
        <f ca="1"/>
        <v>Present</v>
      </c>
      <c r="AB16" s="17" t="str">
        <f ca="1"/>
        <v>Present</v>
      </c>
      <c r="AC16" s="17" t="str">
        <f ca="1"/>
        <v>Present</v>
      </c>
      <c r="AD16" s="17" t="str">
        <f ca="1"/>
        <v>Present</v>
      </c>
      <c r="AE16" s="17" t="str">
        <f ca="1"/>
        <v>Present</v>
      </c>
      <c r="AF16" s="27">
        <f ca="1"/>
        <v>1</v>
      </c>
      <c r="AG16" s="10">
        <f ca="1"/>
        <v>18</v>
      </c>
      <c r="AH16" s="10">
        <f ca="1"/>
        <v>9</v>
      </c>
    </row>
    <row r="17" spans="1:34" ht="15" thickBot="1" x14ac:dyDescent="0.35">
      <c r="A17" s="34" t="str">
        <f ca="1"/>
        <v>abdulazeez_juwon</v>
      </c>
      <c r="B17" s="37">
        <f ca="1"/>
        <v>44859.40902777778</v>
      </c>
      <c r="C17" s="26">
        <f ca="1"/>
        <v>44859</v>
      </c>
      <c r="D17" s="35" t="str">
        <f ca="1"/>
        <v>Present</v>
      </c>
      <c r="E17" s="17" t="str">
        <f ca="1"/>
        <v>Present</v>
      </c>
      <c r="F17" s="17" t="str">
        <f ca="1"/>
        <v>Absent</v>
      </c>
      <c r="G17" s="17" t="str">
        <f ca="1"/>
        <v>Absent</v>
      </c>
      <c r="H17" s="17" t="str">
        <f ca="1"/>
        <v>Absent</v>
      </c>
      <c r="I17" s="17" t="str">
        <f ca="1"/>
        <v>Absent</v>
      </c>
      <c r="J17" s="27">
        <f ca="1"/>
        <v>0.2</v>
      </c>
      <c r="K17" s="10">
        <f ca="1"/>
        <v>12</v>
      </c>
      <c r="L17" s="10">
        <f ca="1"/>
        <v>12</v>
      </c>
      <c r="N17" s="17" t="str">
        <f ca="1"/>
        <v>abdulazeez_juwon</v>
      </c>
      <c r="O17" s="17" t="str">
        <f ca="1"/>
        <v>Present</v>
      </c>
      <c r="P17" s="17" t="str">
        <f ca="1"/>
        <v>Present</v>
      </c>
      <c r="Q17" s="17" t="str">
        <f ca="1"/>
        <v>Absent</v>
      </c>
      <c r="R17" s="17" t="str">
        <f ca="1"/>
        <v>Present</v>
      </c>
      <c r="S17" s="17" t="str">
        <f ca="1"/>
        <v>Present</v>
      </c>
      <c r="T17" s="17" t="str">
        <f ca="1"/>
        <v>Absent</v>
      </c>
      <c r="U17" s="27">
        <f ca="1"/>
        <v>0.6</v>
      </c>
      <c r="V17" s="10">
        <f ca="1"/>
        <v>4</v>
      </c>
      <c r="W17" s="10">
        <f ca="1"/>
        <v>12</v>
      </c>
      <c r="Y17" s="17" t="str">
        <f ca="1"/>
        <v>abdulazeez_juwon</v>
      </c>
      <c r="Z17" s="17" t="str">
        <f ca="1"/>
        <v>Present</v>
      </c>
      <c r="AA17" s="17" t="str">
        <f ca="1"/>
        <v>Present</v>
      </c>
      <c r="AB17" s="17" t="str">
        <f ca="1"/>
        <v>Absent</v>
      </c>
      <c r="AC17" s="17" t="str">
        <f ca="1"/>
        <v>Present</v>
      </c>
      <c r="AD17" s="17" t="str">
        <f ca="1"/>
        <v>Present</v>
      </c>
      <c r="AE17" s="17" t="str">
        <f ca="1"/>
        <v>Absent</v>
      </c>
      <c r="AF17" s="27">
        <f ca="1"/>
        <v>0.6</v>
      </c>
      <c r="AG17" s="10">
        <f ca="1"/>
        <v>15</v>
      </c>
      <c r="AH17" s="10">
        <f ca="1"/>
        <v>12</v>
      </c>
    </row>
    <row r="19" spans="1:34" ht="15" thickBot="1" x14ac:dyDescent="0.35"/>
    <row r="20" spans="1:34" ht="43.8" thickBot="1" x14ac:dyDescent="0.35">
      <c r="A20" s="39" t="str">
        <f t="shared" ref="A20:A33" si="0">A4</f>
        <v>Staff Name</v>
      </c>
      <c r="B20" s="39" t="str">
        <f>J$4</f>
        <v>6 Working 
Days % Tracker</v>
      </c>
      <c r="C20" s="39" t="str">
        <f>K$4</f>
        <v>Days Present 
for that Month</v>
      </c>
      <c r="E20" s="39" t="str">
        <f t="shared" ref="E20:E28" si="1">N4</f>
        <v>Staff Name</v>
      </c>
      <c r="F20" s="39" t="str">
        <f t="shared" ref="F20:F28" si="2">U4</f>
        <v>6 Working 
Days % Tracker</v>
      </c>
      <c r="G20" s="39" t="str">
        <f t="shared" ref="G20:G28" si="3">V4</f>
        <v>Days Present 
for that Month</v>
      </c>
      <c r="I20" s="39" t="str">
        <f t="shared" ref="I20:I28" si="4">Y4</f>
        <v>Staff Name</v>
      </c>
      <c r="J20" s="39" t="str">
        <f t="shared" ref="J20:J28" si="5">AF4</f>
        <v>6 Working 
Days % Tracker</v>
      </c>
      <c r="K20" s="39" t="str">
        <f t="shared" ref="K20:K28" si="6">AG4</f>
        <v>Days Present 
for that Month</v>
      </c>
    </row>
    <row r="21" spans="1:34" ht="15" thickBot="1" x14ac:dyDescent="0.35">
      <c r="A21" s="40" t="str">
        <f t="shared" ca="1" si="0"/>
        <v>ademola_akintayo</v>
      </c>
      <c r="B21" s="38">
        <f t="shared" ref="B21:C28" ca="1" si="7">J5</f>
        <v>0.2</v>
      </c>
      <c r="C21" s="40">
        <f t="shared" ca="1" si="7"/>
        <v>19</v>
      </c>
      <c r="E21" s="40" t="str">
        <f t="shared" ca="1" si="1"/>
        <v>ademola_akintayo</v>
      </c>
      <c r="F21" s="38">
        <f t="shared" ca="1" si="2"/>
        <v>1</v>
      </c>
      <c r="G21" s="40">
        <f t="shared" ca="1" si="3"/>
        <v>6</v>
      </c>
      <c r="I21" s="40" t="str">
        <f t="shared" ca="1" si="4"/>
        <v>david_jimba</v>
      </c>
      <c r="J21" s="38">
        <f t="shared" ca="1" si="5"/>
        <v>1</v>
      </c>
      <c r="K21" s="40">
        <f t="shared" ca="1" si="6"/>
        <v>26</v>
      </c>
    </row>
    <row r="22" spans="1:34" ht="15" thickBot="1" x14ac:dyDescent="0.35">
      <c r="A22" s="40" t="str">
        <f t="shared" ca="1" si="0"/>
        <v>ayo_bamidele</v>
      </c>
      <c r="B22" s="38">
        <f t="shared" ca="1" si="7"/>
        <v>0.2</v>
      </c>
      <c r="C22" s="40">
        <f t="shared" ca="1" si="7"/>
        <v>19</v>
      </c>
      <c r="E22" s="40" t="str">
        <f t="shared" ca="1" si="1"/>
        <v>ayo_bamidele</v>
      </c>
      <c r="F22" s="38">
        <f t="shared" ca="1" si="2"/>
        <v>1</v>
      </c>
      <c r="G22" s="40">
        <f t="shared" ca="1" si="3"/>
        <v>6</v>
      </c>
      <c r="I22" s="40" t="str">
        <f t="shared" ca="1" si="4"/>
        <v>joseph_akpan</v>
      </c>
      <c r="J22" s="38">
        <f t="shared" ca="1" si="5"/>
        <v>1</v>
      </c>
      <c r="K22" s="40">
        <f t="shared" ca="1" si="6"/>
        <v>25</v>
      </c>
    </row>
    <row r="23" spans="1:34" ht="15" thickBot="1" x14ac:dyDescent="0.35">
      <c r="A23" s="40" t="str">
        <f t="shared" ca="1" si="0"/>
        <v>david_jimba</v>
      </c>
      <c r="B23" s="38">
        <f t="shared" ca="1" si="7"/>
        <v>0.2</v>
      </c>
      <c r="C23" s="40">
        <f t="shared" ca="1" si="7"/>
        <v>19</v>
      </c>
      <c r="E23" s="40" t="str">
        <f t="shared" ca="1" si="1"/>
        <v>chibuzo_nwankwo</v>
      </c>
      <c r="F23" s="38">
        <f t="shared" ca="1" si="2"/>
        <v>1</v>
      </c>
      <c r="G23" s="40">
        <f t="shared" ca="1" si="3"/>
        <v>6</v>
      </c>
      <c r="I23" s="40" t="str">
        <f t="shared" ca="1" si="4"/>
        <v>ogunlade_samuel_tope</v>
      </c>
      <c r="J23" s="38">
        <f t="shared" ca="1" si="5"/>
        <v>1</v>
      </c>
      <c r="K23" s="40">
        <f t="shared" ca="1" si="6"/>
        <v>25</v>
      </c>
    </row>
    <row r="24" spans="1:34" ht="15" thickBot="1" x14ac:dyDescent="0.35">
      <c r="A24" s="40" t="str">
        <f t="shared" ca="1" si="0"/>
        <v>joseph_akpan</v>
      </c>
      <c r="B24" s="38">
        <f t="shared" ca="1" si="7"/>
        <v>0.2</v>
      </c>
      <c r="C24" s="40">
        <f t="shared" ca="1" si="7"/>
        <v>19</v>
      </c>
      <c r="E24" s="40" t="str">
        <f t="shared" ca="1" si="1"/>
        <v>david_jimba</v>
      </c>
      <c r="F24" s="38">
        <f t="shared" ca="1" si="2"/>
        <v>1</v>
      </c>
      <c r="G24" s="40">
        <f t="shared" ca="1" si="3"/>
        <v>6</v>
      </c>
      <c r="I24" s="40" t="str">
        <f t="shared" ca="1" si="4"/>
        <v>paul_oyelaran</v>
      </c>
      <c r="J24" s="38">
        <f t="shared" ca="1" si="5"/>
        <v>1</v>
      </c>
      <c r="K24" s="40">
        <f t="shared" ca="1" si="6"/>
        <v>24</v>
      </c>
    </row>
    <row r="25" spans="1:34" ht="15" thickBot="1" x14ac:dyDescent="0.35">
      <c r="A25" s="40" t="str">
        <f t="shared" ca="1" si="0"/>
        <v>kenedy_onaise</v>
      </c>
      <c r="B25" s="38">
        <f t="shared" ca="1" si="7"/>
        <v>0.2</v>
      </c>
      <c r="C25" s="40">
        <f t="shared" ca="1" si="7"/>
        <v>19</v>
      </c>
      <c r="E25" s="40" t="str">
        <f t="shared" ca="1" si="1"/>
        <v>joseph_akpan</v>
      </c>
      <c r="F25" s="38">
        <f t="shared" ca="1" si="2"/>
        <v>1</v>
      </c>
      <c r="G25" s="40">
        <f t="shared" ca="1" si="3"/>
        <v>6</v>
      </c>
      <c r="I25" s="40" t="str">
        <f t="shared" ca="1" si="4"/>
        <v>titilayo_esther</v>
      </c>
      <c r="J25" s="38">
        <f t="shared" ca="1" si="5"/>
        <v>1</v>
      </c>
      <c r="K25" s="40">
        <f t="shared" ca="1" si="6"/>
        <v>24</v>
      </c>
    </row>
    <row r="26" spans="1:34" ht="15" thickBot="1" x14ac:dyDescent="0.35">
      <c r="A26" s="40" t="str">
        <f t="shared" ca="1" si="0"/>
        <v>paul_oyelaran</v>
      </c>
      <c r="B26" s="38">
        <f t="shared" ca="1" si="7"/>
        <v>0.2</v>
      </c>
      <c r="C26" s="40">
        <f t="shared" ca="1" si="7"/>
        <v>19</v>
      </c>
      <c r="E26" s="40" t="str">
        <f t="shared" ca="1" si="1"/>
        <v>kenedy_onaise</v>
      </c>
      <c r="F26" s="38">
        <f t="shared" ca="1" si="2"/>
        <v>1</v>
      </c>
      <c r="G26" s="40">
        <f t="shared" ca="1" si="3"/>
        <v>6</v>
      </c>
      <c r="I26" s="40" t="str">
        <f t="shared" ca="1" si="4"/>
        <v>ademola_akintayo</v>
      </c>
      <c r="J26" s="38">
        <f t="shared" ca="1" si="5"/>
        <v>1</v>
      </c>
      <c r="K26" s="40">
        <f t="shared" ca="1" si="6"/>
        <v>25</v>
      </c>
    </row>
    <row r="27" spans="1:34" ht="15" thickBot="1" x14ac:dyDescent="0.35">
      <c r="A27" s="40" t="str">
        <f t="shared" ca="1" si="0"/>
        <v>titilayo_esther</v>
      </c>
      <c r="B27" s="38">
        <f t="shared" ca="1" si="7"/>
        <v>0.2</v>
      </c>
      <c r="C27" s="40">
        <f t="shared" ca="1" si="7"/>
        <v>19</v>
      </c>
      <c r="E27" s="40" t="str">
        <f t="shared" ca="1" si="1"/>
        <v>ogunlade_samuel_tope</v>
      </c>
      <c r="F27" s="38">
        <f t="shared" ca="1" si="2"/>
        <v>1</v>
      </c>
      <c r="G27" s="40">
        <f t="shared" ca="1" si="3"/>
        <v>6</v>
      </c>
      <c r="I27" s="40" t="str">
        <f t="shared" ca="1" si="4"/>
        <v>oluwaseun_corper</v>
      </c>
      <c r="J27" s="38">
        <f t="shared" ca="1" si="5"/>
        <v>0.6</v>
      </c>
      <c r="K27" s="40">
        <f t="shared" ca="1" si="6"/>
        <v>14</v>
      </c>
    </row>
    <row r="28" spans="1:34" ht="15" thickBot="1" x14ac:dyDescent="0.35">
      <c r="A28" s="40" t="str">
        <f t="shared" ca="1" si="0"/>
        <v>michael_omotosho</v>
      </c>
      <c r="B28" s="38">
        <f t="shared" ca="1" si="7"/>
        <v>0.2</v>
      </c>
      <c r="C28" s="40">
        <f t="shared" ca="1" si="7"/>
        <v>15</v>
      </c>
      <c r="E28" s="40" t="str">
        <f t="shared" ca="1" si="1"/>
        <v>paul_oyelaran</v>
      </c>
      <c r="F28" s="38">
        <f t="shared" ca="1" si="2"/>
        <v>1</v>
      </c>
      <c r="G28" s="40">
        <f t="shared" ca="1" si="3"/>
        <v>6</v>
      </c>
      <c r="I28" s="40" t="str">
        <f t="shared" ca="1" si="4"/>
        <v>chibuzo_nwankwo</v>
      </c>
      <c r="J28" s="38">
        <f t="shared" ca="1" si="5"/>
        <v>1</v>
      </c>
      <c r="K28" s="40">
        <f t="shared" ca="1" si="6"/>
        <v>24</v>
      </c>
    </row>
    <row r="29" spans="1:34" ht="15" thickBot="1" x14ac:dyDescent="0.35">
      <c r="A29" s="40" t="str">
        <f t="shared" ca="1" si="0"/>
        <v>ogunlade_samuel_tope</v>
      </c>
      <c r="B29" s="38">
        <f t="shared" ref="B29:C29" ca="1" si="8">J13</f>
        <v>0.2</v>
      </c>
      <c r="C29" s="40">
        <f t="shared" ca="1" si="8"/>
        <v>14</v>
      </c>
      <c r="E29" s="40" t="str">
        <f t="shared" ref="E29:E33" ca="1" si="9">N13</f>
        <v>titilayo_esther</v>
      </c>
      <c r="F29" s="38">
        <f t="shared" ref="F29:G29" ca="1" si="10">U13</f>
        <v>1</v>
      </c>
      <c r="G29" s="40">
        <f t="shared" ca="1" si="10"/>
        <v>6</v>
      </c>
      <c r="I29" s="40" t="str">
        <f t="shared" ref="I29:I33" ca="1" si="11">Y13</f>
        <v>kenedy_onaise</v>
      </c>
      <c r="J29" s="38">
        <f t="shared" ref="J29:K29" ca="1" si="12">AF13</f>
        <v>1</v>
      </c>
      <c r="K29" s="40">
        <f t="shared" ca="1" si="12"/>
        <v>21</v>
      </c>
    </row>
    <row r="30" spans="1:34" ht="15" thickBot="1" x14ac:dyDescent="0.35">
      <c r="A30" s="40" t="str">
        <f t="shared" ca="1" si="0"/>
        <v>oluwaseun_corper</v>
      </c>
      <c r="B30" s="38">
        <f t="shared" ref="B30:C30" ca="1" si="13">J14</f>
        <v>0.2</v>
      </c>
      <c r="C30" s="40">
        <f t="shared" ca="1" si="13"/>
        <v>11</v>
      </c>
      <c r="E30" s="40" t="str">
        <f t="shared" ca="1" si="9"/>
        <v>oluwaseun_corper</v>
      </c>
      <c r="F30" s="38">
        <f t="shared" ref="F30:G30" ca="1" si="14">U14</f>
        <v>0.6</v>
      </c>
      <c r="G30" s="40">
        <f t="shared" ca="1" si="14"/>
        <v>4</v>
      </c>
      <c r="I30" s="40" t="str">
        <f t="shared" ca="1" si="11"/>
        <v>michael_omotosho</v>
      </c>
      <c r="J30" s="38">
        <f t="shared" ref="J30:K30" ca="1" si="15">AF14</f>
        <v>0.8</v>
      </c>
      <c r="K30" s="40">
        <f t="shared" ca="1" si="15"/>
        <v>21</v>
      </c>
    </row>
    <row r="31" spans="1:34" ht="15" thickBot="1" x14ac:dyDescent="0.35">
      <c r="A31" s="40" t="str">
        <f t="shared" ca="1" si="0"/>
        <v>babatunde_afeez</v>
      </c>
      <c r="B31" s="38">
        <f t="shared" ref="B31:C31" ca="1" si="16">J15</f>
        <v>0.2</v>
      </c>
      <c r="C31" s="40">
        <f t="shared" ca="1" si="16"/>
        <v>16</v>
      </c>
      <c r="E31" s="40" t="str">
        <f t="shared" ca="1" si="9"/>
        <v>michael_omotosho</v>
      </c>
      <c r="F31" s="38">
        <f t="shared" ref="F31:G31" ca="1" si="17">U15</f>
        <v>0.8</v>
      </c>
      <c r="G31" s="40">
        <f t="shared" ca="1" si="17"/>
        <v>5</v>
      </c>
      <c r="I31" s="40" t="str">
        <f t="shared" ca="1" si="11"/>
        <v>ayo_bamidele</v>
      </c>
      <c r="J31" s="38">
        <f t="shared" ref="J31:K31" ca="1" si="18">AF15</f>
        <v>1</v>
      </c>
      <c r="K31" s="40">
        <f t="shared" ca="1" si="18"/>
        <v>22</v>
      </c>
    </row>
    <row r="32" spans="1:34" ht="15" thickBot="1" x14ac:dyDescent="0.35">
      <c r="A32" s="40" t="str">
        <f t="shared" ca="1" si="0"/>
        <v>chibuzo_nwankwo</v>
      </c>
      <c r="B32" s="38">
        <f t="shared" ref="B32:C32" ca="1" si="19">J16</f>
        <v>0.2</v>
      </c>
      <c r="C32" s="40">
        <f t="shared" ca="1" si="19"/>
        <v>15</v>
      </c>
      <c r="E32" s="40" t="str">
        <f t="shared" ca="1" si="9"/>
        <v>babatunde_afeez</v>
      </c>
      <c r="F32" s="38">
        <f t="shared" ref="F32:G32" ca="1" si="20">U16</f>
        <v>0.8</v>
      </c>
      <c r="G32" s="40">
        <f t="shared" ca="1" si="20"/>
        <v>5</v>
      </c>
      <c r="I32" s="40" t="str">
        <f t="shared" ca="1" si="11"/>
        <v>babatunde_afeez</v>
      </c>
      <c r="J32" s="38">
        <f t="shared" ref="J32:K32" ca="1" si="21">AF16</f>
        <v>1</v>
      </c>
      <c r="K32" s="40">
        <f t="shared" ca="1" si="21"/>
        <v>18</v>
      </c>
    </row>
    <row r="33" spans="1:11" ht="15" thickBot="1" x14ac:dyDescent="0.35">
      <c r="A33" s="40" t="str">
        <f t="shared" ca="1" si="0"/>
        <v>abdulazeez_juwon</v>
      </c>
      <c r="B33" s="38">
        <f t="shared" ref="B33:C33" ca="1" si="22">J17</f>
        <v>0.2</v>
      </c>
      <c r="C33" s="40">
        <f t="shared" ca="1" si="22"/>
        <v>12</v>
      </c>
      <c r="E33" s="40" t="str">
        <f t="shared" ca="1" si="9"/>
        <v>abdulazeez_juwon</v>
      </c>
      <c r="F33" s="38">
        <f t="shared" ref="F33:G33" ca="1" si="23">U17</f>
        <v>0.6</v>
      </c>
      <c r="G33" s="40">
        <f t="shared" ca="1" si="23"/>
        <v>4</v>
      </c>
      <c r="I33" s="40" t="str">
        <f t="shared" ca="1" si="11"/>
        <v>abdulazeez_juwon</v>
      </c>
      <c r="J33" s="38">
        <f t="shared" ref="J33:K33" ca="1" si="24">AF17</f>
        <v>0.6</v>
      </c>
      <c r="K33" s="40">
        <f t="shared" ca="1" si="24"/>
        <v>15</v>
      </c>
    </row>
  </sheetData>
  <mergeCells count="3">
    <mergeCell ref="A3:L3"/>
    <mergeCell ref="N3:W3"/>
    <mergeCell ref="Y3:AH3"/>
  </mergeCells>
  <conditionalFormatting sqref="D5:I17 O5:T17 Z5:AE17">
    <cfRule type="containsText" dxfId="26" priority="11" operator="containsText" text="Absent">
      <formula>NOT(ISERROR(SEARCH("Absent",D5)))</formula>
    </cfRule>
    <cfRule type="containsText" dxfId="25" priority="12" operator="containsText" text="Present">
      <formula>NOT(ISERROR(SEARCH("Present",D5)))</formula>
    </cfRule>
  </conditionalFormatting>
  <conditionalFormatting sqref="J5:J17">
    <cfRule type="colorScale" priority="17">
      <colorScale>
        <cfvo type="percent" val="20"/>
        <cfvo type="percent" val="60"/>
        <color rgb="FFFF0000"/>
        <color rgb="FF00B050"/>
      </colorScale>
    </cfRule>
  </conditionalFormatting>
  <conditionalFormatting sqref="U5:U17">
    <cfRule type="colorScale" priority="23">
      <colorScale>
        <cfvo type="percent" val="20"/>
        <cfvo type="percent" val="60"/>
        <color rgb="FFFF0000"/>
        <color rgb="FF00B050"/>
      </colorScale>
    </cfRule>
  </conditionalFormatting>
  <conditionalFormatting sqref="AF5:AF17">
    <cfRule type="colorScale" priority="25">
      <colorScale>
        <cfvo type="percent" val="20"/>
        <cfvo type="percent" val="60"/>
        <color rgb="FFFF0000"/>
        <color rgb="FF00B050"/>
      </colorScale>
    </cfRule>
  </conditionalFormatting>
  <conditionalFormatting sqref="B21:B33">
    <cfRule type="colorScale" priority="29">
      <colorScale>
        <cfvo type="percent" val="20"/>
        <cfvo type="percent" val="60"/>
        <color rgb="FFFF0000"/>
        <color rgb="FF00B050"/>
      </colorScale>
    </cfRule>
  </conditionalFormatting>
  <conditionalFormatting sqref="F21:F33">
    <cfRule type="colorScale" priority="30">
      <colorScale>
        <cfvo type="percent" val="20"/>
        <cfvo type="percent" val="60"/>
        <color rgb="FFFF0000"/>
        <color rgb="FF00B050"/>
      </colorScale>
    </cfRule>
  </conditionalFormatting>
  <conditionalFormatting sqref="J21:J33">
    <cfRule type="colorScale" priority="31">
      <colorScale>
        <cfvo type="percent" val="20"/>
        <cfvo type="percent" val="60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4965-E65B-41F8-BC3A-453C4C30A27C}">
  <sheetPr>
    <tabColor theme="1" tint="0.499984740745262"/>
  </sheetPr>
  <dimension ref="A1:B13"/>
  <sheetViews>
    <sheetView workbookViewId="0">
      <selection activeCell="B16" sqref="B16"/>
    </sheetView>
  </sheetViews>
  <sheetFormatPr defaultRowHeight="14.4" x14ac:dyDescent="0.3"/>
  <cols>
    <col min="1" max="1" width="4.109375" bestFit="1" customWidth="1"/>
    <col min="2" max="2" width="12" bestFit="1" customWidth="1"/>
  </cols>
  <sheetData>
    <row r="1" spans="1:2" ht="15" thickBot="1" x14ac:dyDescent="0.35">
      <c r="A1" s="13" t="s">
        <v>1389</v>
      </c>
      <c r="B1" s="14" t="s">
        <v>1367</v>
      </c>
    </row>
    <row r="2" spans="1:2" ht="15" thickBot="1" x14ac:dyDescent="0.35">
      <c r="A2" s="15">
        <v>1</v>
      </c>
      <c r="B2" s="16" t="s">
        <v>1390</v>
      </c>
    </row>
    <row r="3" spans="1:2" ht="15" thickBot="1" x14ac:dyDescent="0.35">
      <c r="A3" s="15">
        <v>2</v>
      </c>
      <c r="B3" s="16" t="s">
        <v>1391</v>
      </c>
    </row>
    <row r="4" spans="1:2" ht="15" thickBot="1" x14ac:dyDescent="0.35">
      <c r="A4" s="15">
        <v>3</v>
      </c>
      <c r="B4" s="16" t="s">
        <v>1392</v>
      </c>
    </row>
    <row r="5" spans="1:2" ht="15" thickBot="1" x14ac:dyDescent="0.35">
      <c r="A5" s="15">
        <v>4</v>
      </c>
      <c r="B5" s="16" t="s">
        <v>1393</v>
      </c>
    </row>
    <row r="6" spans="1:2" ht="15" thickBot="1" x14ac:dyDescent="0.35">
      <c r="A6" s="15">
        <v>5</v>
      </c>
      <c r="B6" s="16" t="s">
        <v>1394</v>
      </c>
    </row>
    <row r="7" spans="1:2" ht="15" thickBot="1" x14ac:dyDescent="0.35">
      <c r="A7" s="15">
        <v>6</v>
      </c>
      <c r="B7" s="16" t="s">
        <v>1395</v>
      </c>
    </row>
    <row r="8" spans="1:2" ht="15" thickBot="1" x14ac:dyDescent="0.35">
      <c r="A8" s="15">
        <v>7</v>
      </c>
      <c r="B8" s="16" t="s">
        <v>1396</v>
      </c>
    </row>
    <row r="9" spans="1:2" ht="15" thickBot="1" x14ac:dyDescent="0.35">
      <c r="A9" s="15">
        <v>8</v>
      </c>
      <c r="B9" s="16" t="s">
        <v>1397</v>
      </c>
    </row>
    <row r="10" spans="1:2" ht="15" thickBot="1" x14ac:dyDescent="0.35">
      <c r="A10" s="15">
        <v>9</v>
      </c>
      <c r="B10" s="16" t="s">
        <v>1398</v>
      </c>
    </row>
    <row r="11" spans="1:2" ht="15" thickBot="1" x14ac:dyDescent="0.35">
      <c r="A11" s="15">
        <v>10</v>
      </c>
      <c r="B11" s="16" t="s">
        <v>1399</v>
      </c>
    </row>
    <row r="12" spans="1:2" ht="15" thickBot="1" x14ac:dyDescent="0.35">
      <c r="A12" s="15">
        <v>11</v>
      </c>
      <c r="B12" s="16" t="s">
        <v>1400</v>
      </c>
    </row>
    <row r="13" spans="1:2" ht="15" thickBot="1" x14ac:dyDescent="0.35">
      <c r="A13" s="15">
        <v>12</v>
      </c>
      <c r="B13" s="16" t="s">
        <v>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E420-2A4B-45D6-BD47-5130D48AB2D6}">
  <sheetPr>
    <tabColor theme="9" tint="0.79998168889431442"/>
  </sheetPr>
  <dimension ref="A1:Q1328"/>
  <sheetViews>
    <sheetView workbookViewId="0"/>
  </sheetViews>
  <sheetFormatPr defaultRowHeight="14.4" x14ac:dyDescent="0.3"/>
  <cols>
    <col min="1" max="1" width="18.33203125" bestFit="1" customWidth="1"/>
    <col min="2" max="2" width="15.77734375" bestFit="1" customWidth="1"/>
    <col min="3" max="3" width="21.6640625" bestFit="1" customWidth="1"/>
    <col min="4" max="4" width="27.77734375" bestFit="1" customWidth="1"/>
    <col min="5" max="5" width="20.21875" bestFit="1" customWidth="1"/>
    <col min="6" max="6" width="23.5546875" bestFit="1" customWidth="1"/>
    <col min="7" max="7" width="25.44140625" bestFit="1" customWidth="1"/>
    <col min="8" max="8" width="28.21875" bestFit="1" customWidth="1"/>
    <col min="9" max="9" width="24.88671875" bestFit="1" customWidth="1"/>
    <col min="10" max="10" width="28.21875" bestFit="1" customWidth="1"/>
    <col min="11" max="11" width="38.88671875" bestFit="1" customWidth="1"/>
    <col min="12" max="12" width="18.109375" bestFit="1" customWidth="1"/>
    <col min="13" max="13" width="40.5546875" bestFit="1" customWidth="1"/>
    <col min="14" max="14" width="13.44140625" bestFit="1" customWidth="1"/>
    <col min="15" max="15" width="16.44140625" bestFit="1" customWidth="1"/>
    <col min="16" max="16" width="10.5546875" bestFit="1" customWidth="1"/>
    <col min="17" max="17" width="17.6640625" customWidth="1"/>
    <col min="18" max="18" width="1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2">
        <v>44741.627083333333</v>
      </c>
      <c r="C2" s="1" t="s">
        <v>18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21</v>
      </c>
      <c r="K2" s="1" t="s">
        <v>22</v>
      </c>
      <c r="L2">
        <v>20220629150211</v>
      </c>
      <c r="M2" s="1" t="s">
        <v>23</v>
      </c>
      <c r="N2" s="1" t="s">
        <v>24</v>
      </c>
      <c r="O2">
        <v>6</v>
      </c>
      <c r="P2" s="3">
        <v>44741</v>
      </c>
      <c r="Q2">
        <v>26</v>
      </c>
    </row>
    <row r="3" spans="1:17" x14ac:dyDescent="0.3">
      <c r="A3" s="1" t="s">
        <v>25</v>
      </c>
      <c r="B3" s="2">
        <v>44741.627083333333</v>
      </c>
      <c r="C3" s="1" t="s">
        <v>18</v>
      </c>
      <c r="D3" s="1" t="s">
        <v>26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27</v>
      </c>
      <c r="K3" s="1" t="s">
        <v>22</v>
      </c>
      <c r="L3">
        <v>20220629150336</v>
      </c>
      <c r="M3" s="1" t="s">
        <v>28</v>
      </c>
      <c r="N3" s="1" t="s">
        <v>24</v>
      </c>
      <c r="O3">
        <v>6</v>
      </c>
      <c r="P3" s="3">
        <v>44741</v>
      </c>
      <c r="Q3">
        <v>26</v>
      </c>
    </row>
    <row r="4" spans="1:17" x14ac:dyDescent="0.3">
      <c r="A4" s="1" t="s">
        <v>25</v>
      </c>
      <c r="B4" s="2">
        <v>44741.62777777778</v>
      </c>
      <c r="C4" s="1" t="s">
        <v>18</v>
      </c>
      <c r="D4" s="1" t="s">
        <v>29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30</v>
      </c>
      <c r="K4" s="1" t="s">
        <v>31</v>
      </c>
      <c r="L4">
        <v>20220629150348</v>
      </c>
      <c r="M4" s="1" t="s">
        <v>32</v>
      </c>
      <c r="N4" s="1" t="s">
        <v>24</v>
      </c>
      <c r="O4">
        <v>6</v>
      </c>
      <c r="P4" s="3">
        <v>44741</v>
      </c>
      <c r="Q4">
        <v>26</v>
      </c>
    </row>
    <row r="5" spans="1:17" x14ac:dyDescent="0.3">
      <c r="A5" s="1" t="s">
        <v>33</v>
      </c>
      <c r="B5" s="2">
        <v>44741.62777777778</v>
      </c>
      <c r="C5" s="1" t="s">
        <v>18</v>
      </c>
      <c r="D5" s="1" t="s">
        <v>29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34</v>
      </c>
      <c r="K5" s="1" t="s">
        <v>31</v>
      </c>
      <c r="L5">
        <v>20220629150412</v>
      </c>
      <c r="M5" s="1" t="s">
        <v>35</v>
      </c>
      <c r="N5" s="1" t="s">
        <v>24</v>
      </c>
      <c r="O5">
        <v>6</v>
      </c>
      <c r="P5" s="3">
        <v>44741</v>
      </c>
      <c r="Q5">
        <v>26</v>
      </c>
    </row>
    <row r="6" spans="1:17" x14ac:dyDescent="0.3">
      <c r="A6" s="1" t="s">
        <v>36</v>
      </c>
      <c r="B6" s="2">
        <v>44741.628472222219</v>
      </c>
      <c r="C6" s="1" t="s">
        <v>37</v>
      </c>
      <c r="D6" s="1" t="s">
        <v>38</v>
      </c>
      <c r="E6" s="1" t="s">
        <v>39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>
        <v>20220629150521</v>
      </c>
      <c r="M6" s="1" t="s">
        <v>40</v>
      </c>
      <c r="N6" s="1" t="s">
        <v>24</v>
      </c>
      <c r="O6">
        <v>6</v>
      </c>
      <c r="P6" s="3">
        <v>44741</v>
      </c>
      <c r="Q6">
        <v>26</v>
      </c>
    </row>
    <row r="7" spans="1:17" x14ac:dyDescent="0.3">
      <c r="A7" s="1" t="s">
        <v>36</v>
      </c>
      <c r="B7" s="2">
        <v>44741.628472222219</v>
      </c>
      <c r="C7" s="1" t="s">
        <v>37</v>
      </c>
      <c r="D7" s="1" t="s">
        <v>41</v>
      </c>
      <c r="E7" s="1" t="s">
        <v>42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>
        <v>20220629150531</v>
      </c>
      <c r="M7" s="1" t="s">
        <v>43</v>
      </c>
      <c r="N7" s="1" t="s">
        <v>24</v>
      </c>
      <c r="O7">
        <v>6</v>
      </c>
      <c r="P7" s="3">
        <v>44741</v>
      </c>
      <c r="Q7">
        <v>26</v>
      </c>
    </row>
    <row r="8" spans="1:17" x14ac:dyDescent="0.3">
      <c r="A8" s="1" t="s">
        <v>36</v>
      </c>
      <c r="B8" s="2">
        <v>44741.628472222219</v>
      </c>
      <c r="C8" s="1" t="s">
        <v>37</v>
      </c>
      <c r="D8" s="1" t="s">
        <v>44</v>
      </c>
      <c r="E8" s="1" t="s">
        <v>45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>
        <v>20220629150545</v>
      </c>
      <c r="M8" s="1" t="s">
        <v>46</v>
      </c>
      <c r="N8" s="1" t="s">
        <v>24</v>
      </c>
      <c r="O8">
        <v>6</v>
      </c>
      <c r="P8" s="3">
        <v>44741</v>
      </c>
      <c r="Q8">
        <v>26</v>
      </c>
    </row>
    <row r="9" spans="1:17" x14ac:dyDescent="0.3">
      <c r="A9" s="1" t="s">
        <v>36</v>
      </c>
      <c r="B9" s="2">
        <v>44741.629166666666</v>
      </c>
      <c r="C9" s="1" t="s">
        <v>37</v>
      </c>
      <c r="D9" s="1" t="s">
        <v>47</v>
      </c>
      <c r="E9" s="1" t="s">
        <v>48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>
        <v>20220629150555</v>
      </c>
      <c r="M9" s="1" t="s">
        <v>49</v>
      </c>
      <c r="N9" s="1" t="s">
        <v>24</v>
      </c>
      <c r="O9">
        <v>6</v>
      </c>
      <c r="P9" s="3">
        <v>44741</v>
      </c>
      <c r="Q9">
        <v>26</v>
      </c>
    </row>
    <row r="10" spans="1:17" x14ac:dyDescent="0.3">
      <c r="A10" s="1" t="s">
        <v>50</v>
      </c>
      <c r="B10" s="2">
        <v>44741.629166666666</v>
      </c>
      <c r="C10" s="1" t="s">
        <v>37</v>
      </c>
      <c r="D10" s="1" t="s">
        <v>47</v>
      </c>
      <c r="E10" s="1" t="s">
        <v>51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>
        <v>20220629150604</v>
      </c>
      <c r="M10" s="1" t="s">
        <v>52</v>
      </c>
      <c r="N10" s="1" t="s">
        <v>24</v>
      </c>
      <c r="O10">
        <v>6</v>
      </c>
      <c r="P10" s="3">
        <v>44741</v>
      </c>
      <c r="Q10">
        <v>26</v>
      </c>
    </row>
    <row r="11" spans="1:17" x14ac:dyDescent="0.3">
      <c r="A11" s="1" t="s">
        <v>50</v>
      </c>
      <c r="B11" s="2">
        <v>44741.629166666666</v>
      </c>
      <c r="C11" s="1" t="s">
        <v>37</v>
      </c>
      <c r="D11" s="1" t="s">
        <v>53</v>
      </c>
      <c r="E11" s="1" t="s">
        <v>54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>
        <v>20220629150613</v>
      </c>
      <c r="M11" s="1" t="s">
        <v>55</v>
      </c>
      <c r="N11" s="1" t="s">
        <v>24</v>
      </c>
      <c r="O11">
        <v>6</v>
      </c>
      <c r="P11" s="3">
        <v>44741</v>
      </c>
      <c r="Q11">
        <v>26</v>
      </c>
    </row>
    <row r="12" spans="1:17" x14ac:dyDescent="0.3">
      <c r="A12" s="1" t="s">
        <v>50</v>
      </c>
      <c r="B12" s="2">
        <v>44741.629166666666</v>
      </c>
      <c r="C12" s="1" t="s">
        <v>37</v>
      </c>
      <c r="D12" s="1" t="s">
        <v>53</v>
      </c>
      <c r="E12" s="1" t="s">
        <v>56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>
        <v>20220629150622</v>
      </c>
      <c r="M12" s="1" t="s">
        <v>57</v>
      </c>
      <c r="N12" s="1" t="s">
        <v>24</v>
      </c>
      <c r="O12">
        <v>6</v>
      </c>
      <c r="P12" s="3">
        <v>44741</v>
      </c>
      <c r="Q12">
        <v>26</v>
      </c>
    </row>
    <row r="13" spans="1:17" x14ac:dyDescent="0.3">
      <c r="A13" s="1" t="s">
        <v>50</v>
      </c>
      <c r="B13" s="2">
        <v>44741.629166666666</v>
      </c>
      <c r="C13" s="1" t="s">
        <v>37</v>
      </c>
      <c r="D13" s="1" t="s">
        <v>19</v>
      </c>
      <c r="E13" s="1" t="s">
        <v>58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>
        <v>20220629150631</v>
      </c>
      <c r="M13" s="1" t="s">
        <v>59</v>
      </c>
      <c r="N13" s="1" t="s">
        <v>24</v>
      </c>
      <c r="O13">
        <v>6</v>
      </c>
      <c r="P13" s="3">
        <v>44741</v>
      </c>
      <c r="Q13">
        <v>26</v>
      </c>
    </row>
    <row r="14" spans="1:17" x14ac:dyDescent="0.3">
      <c r="A14" s="1" t="s">
        <v>50</v>
      </c>
      <c r="B14" s="2">
        <v>44741.629166666666</v>
      </c>
      <c r="C14" s="1" t="s">
        <v>37</v>
      </c>
      <c r="D14" s="1" t="s">
        <v>60</v>
      </c>
      <c r="E14" s="1" t="s">
        <v>61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>
        <v>20220629150640</v>
      </c>
      <c r="M14" s="1" t="s">
        <v>62</v>
      </c>
      <c r="N14" s="1" t="s">
        <v>24</v>
      </c>
      <c r="O14">
        <v>6</v>
      </c>
      <c r="P14" s="3">
        <v>44741</v>
      </c>
      <c r="Q14">
        <v>26</v>
      </c>
    </row>
    <row r="15" spans="1:17" x14ac:dyDescent="0.3">
      <c r="A15" s="1" t="s">
        <v>63</v>
      </c>
      <c r="B15" s="2">
        <v>44742.445833333331</v>
      </c>
      <c r="C15" s="1" t="s">
        <v>37</v>
      </c>
      <c r="D15" s="1" t="s">
        <v>41</v>
      </c>
      <c r="E15" s="1" t="s">
        <v>42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>
        <v>20220630104137</v>
      </c>
      <c r="M15" s="1" t="s">
        <v>64</v>
      </c>
      <c r="N15" s="1" t="s">
        <v>65</v>
      </c>
      <c r="O15">
        <v>6</v>
      </c>
      <c r="P15" s="3">
        <v>44742</v>
      </c>
      <c r="Q15">
        <v>26</v>
      </c>
    </row>
    <row r="16" spans="1:17" x14ac:dyDescent="0.3">
      <c r="A16" s="1" t="s">
        <v>66</v>
      </c>
      <c r="B16" s="2">
        <v>44742.446527777778</v>
      </c>
      <c r="C16" s="1" t="s">
        <v>37</v>
      </c>
      <c r="D16" s="1" t="s">
        <v>44</v>
      </c>
      <c r="E16" s="1" t="s">
        <v>45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>
        <v>20220630104255</v>
      </c>
      <c r="M16" s="1" t="s">
        <v>67</v>
      </c>
      <c r="N16" s="1" t="s">
        <v>65</v>
      </c>
      <c r="O16">
        <v>6</v>
      </c>
      <c r="P16" s="3">
        <v>44742</v>
      </c>
      <c r="Q16">
        <v>26</v>
      </c>
    </row>
    <row r="17" spans="1:17" x14ac:dyDescent="0.3">
      <c r="A17" s="1" t="s">
        <v>68</v>
      </c>
      <c r="B17" s="2">
        <v>44742.446527777778</v>
      </c>
      <c r="C17" s="1" t="s">
        <v>37</v>
      </c>
      <c r="D17" s="1" t="s">
        <v>47</v>
      </c>
      <c r="E17" s="1" t="s">
        <v>48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>
        <v>20220630104309</v>
      </c>
      <c r="M17" s="1" t="s">
        <v>69</v>
      </c>
      <c r="N17" s="1" t="s">
        <v>65</v>
      </c>
      <c r="O17">
        <v>6</v>
      </c>
      <c r="P17" s="3">
        <v>44742</v>
      </c>
      <c r="Q17">
        <v>26</v>
      </c>
    </row>
    <row r="18" spans="1:17" x14ac:dyDescent="0.3">
      <c r="A18" s="1" t="s">
        <v>68</v>
      </c>
      <c r="B18" s="2">
        <v>44742.446527777778</v>
      </c>
      <c r="C18" s="1" t="s">
        <v>37</v>
      </c>
      <c r="D18" s="1" t="s">
        <v>47</v>
      </c>
      <c r="E18" s="1" t="s">
        <v>51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>
        <v>20220630104321</v>
      </c>
      <c r="M18" s="1" t="s">
        <v>70</v>
      </c>
      <c r="N18" s="1" t="s">
        <v>65</v>
      </c>
      <c r="O18">
        <v>6</v>
      </c>
      <c r="P18" s="3">
        <v>44742</v>
      </c>
      <c r="Q18">
        <v>26</v>
      </c>
    </row>
    <row r="19" spans="1:17" x14ac:dyDescent="0.3">
      <c r="A19" s="1" t="s">
        <v>68</v>
      </c>
      <c r="B19" s="2">
        <v>44742.446527777778</v>
      </c>
      <c r="C19" s="1" t="s">
        <v>37</v>
      </c>
      <c r="D19" s="1" t="s">
        <v>53</v>
      </c>
      <c r="E19" s="1" t="s">
        <v>54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>
        <v>20220630104334</v>
      </c>
      <c r="M19" s="1" t="s">
        <v>71</v>
      </c>
      <c r="N19" s="1" t="s">
        <v>65</v>
      </c>
      <c r="O19">
        <v>6</v>
      </c>
      <c r="P19" s="3">
        <v>44742</v>
      </c>
      <c r="Q19">
        <v>26</v>
      </c>
    </row>
    <row r="20" spans="1:17" x14ac:dyDescent="0.3">
      <c r="A20" s="1" t="s">
        <v>68</v>
      </c>
      <c r="B20" s="2">
        <v>44742.446527777778</v>
      </c>
      <c r="C20" s="1" t="s">
        <v>37</v>
      </c>
      <c r="D20" s="1" t="s">
        <v>19</v>
      </c>
      <c r="E20" s="1" t="s">
        <v>58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>
        <v>20220630104348</v>
      </c>
      <c r="M20" s="1" t="s">
        <v>72</v>
      </c>
      <c r="N20" s="1" t="s">
        <v>65</v>
      </c>
      <c r="O20">
        <v>6</v>
      </c>
      <c r="P20" s="3">
        <v>44742</v>
      </c>
      <c r="Q20">
        <v>26</v>
      </c>
    </row>
    <row r="21" spans="1:17" x14ac:dyDescent="0.3">
      <c r="A21" s="1" t="s">
        <v>68</v>
      </c>
      <c r="B21" s="2">
        <v>44742.447222222225</v>
      </c>
      <c r="C21" s="1" t="s">
        <v>37</v>
      </c>
      <c r="D21" s="1" t="s">
        <v>60</v>
      </c>
      <c r="E21" s="1" t="s">
        <v>61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>
        <v>20220630104359</v>
      </c>
      <c r="M21" s="1" t="s">
        <v>73</v>
      </c>
      <c r="N21" s="1" t="s">
        <v>65</v>
      </c>
      <c r="O21">
        <v>6</v>
      </c>
      <c r="P21" s="3">
        <v>44742</v>
      </c>
      <c r="Q21">
        <v>26</v>
      </c>
    </row>
    <row r="22" spans="1:17" x14ac:dyDescent="0.3">
      <c r="A22" s="1" t="s">
        <v>74</v>
      </c>
      <c r="B22" s="2">
        <v>44742.447222222225</v>
      </c>
      <c r="C22" s="1" t="s">
        <v>37</v>
      </c>
      <c r="D22" s="1" t="s">
        <v>29</v>
      </c>
      <c r="E22" s="1" t="s">
        <v>34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>
        <v>20220630104408</v>
      </c>
      <c r="M22" s="1" t="s">
        <v>75</v>
      </c>
      <c r="N22" s="1" t="s">
        <v>65</v>
      </c>
      <c r="O22">
        <v>6</v>
      </c>
      <c r="P22" s="3">
        <v>44742</v>
      </c>
      <c r="Q22">
        <v>26</v>
      </c>
    </row>
    <row r="23" spans="1:17" x14ac:dyDescent="0.3">
      <c r="A23" s="1" t="s">
        <v>74</v>
      </c>
      <c r="B23" s="2">
        <v>44742.447222222225</v>
      </c>
      <c r="C23" s="1" t="s">
        <v>37</v>
      </c>
      <c r="D23" s="1" t="s">
        <v>29</v>
      </c>
      <c r="E23" s="1" t="s">
        <v>30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>
        <v>20220630104426</v>
      </c>
      <c r="M23" s="1" t="s">
        <v>76</v>
      </c>
      <c r="N23" s="1" t="s">
        <v>65</v>
      </c>
      <c r="O23">
        <v>6</v>
      </c>
      <c r="P23" s="3">
        <v>44742</v>
      </c>
      <c r="Q23">
        <v>26</v>
      </c>
    </row>
    <row r="24" spans="1:17" x14ac:dyDescent="0.3">
      <c r="A24" s="1" t="s">
        <v>74</v>
      </c>
      <c r="B24" s="2">
        <v>44742.447222222225</v>
      </c>
      <c r="C24" s="1" t="s">
        <v>18</v>
      </c>
      <c r="D24" s="1" t="s">
        <v>77</v>
      </c>
      <c r="E24" s="1" t="s">
        <v>77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>
        <v>20220630104436</v>
      </c>
      <c r="M24" s="1" t="s">
        <v>78</v>
      </c>
      <c r="N24" s="1" t="s">
        <v>65</v>
      </c>
      <c r="O24">
        <v>6</v>
      </c>
      <c r="P24" s="3">
        <v>44742</v>
      </c>
      <c r="Q24">
        <v>26</v>
      </c>
    </row>
    <row r="25" spans="1:17" x14ac:dyDescent="0.3">
      <c r="A25" s="1" t="s">
        <v>74</v>
      </c>
      <c r="B25" s="2">
        <v>44742.447916666664</v>
      </c>
      <c r="C25" s="1" t="s">
        <v>18</v>
      </c>
      <c r="D25" s="1" t="s">
        <v>77</v>
      </c>
      <c r="E25" s="1" t="s">
        <v>77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>
        <v>20220630104453</v>
      </c>
      <c r="M25" s="1" t="s">
        <v>79</v>
      </c>
      <c r="N25" s="1" t="s">
        <v>65</v>
      </c>
      <c r="O25">
        <v>6</v>
      </c>
      <c r="P25" s="3">
        <v>44742</v>
      </c>
      <c r="Q25">
        <v>26</v>
      </c>
    </row>
    <row r="26" spans="1:17" x14ac:dyDescent="0.3">
      <c r="A26" s="1" t="s">
        <v>80</v>
      </c>
      <c r="B26" s="2">
        <v>44742.447916666664</v>
      </c>
      <c r="C26" s="1" t="s">
        <v>37</v>
      </c>
      <c r="D26" s="1" t="s">
        <v>38</v>
      </c>
      <c r="E26" s="1" t="s">
        <v>39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>
        <v>20220630104506</v>
      </c>
      <c r="M26" s="1" t="s">
        <v>81</v>
      </c>
      <c r="N26" s="1" t="s">
        <v>65</v>
      </c>
      <c r="O26">
        <v>6</v>
      </c>
      <c r="P26" s="3">
        <v>44742</v>
      </c>
      <c r="Q26">
        <v>26</v>
      </c>
    </row>
    <row r="27" spans="1:17" x14ac:dyDescent="0.3">
      <c r="A27" s="1" t="s">
        <v>82</v>
      </c>
      <c r="B27" s="2">
        <v>44743.620138888888</v>
      </c>
      <c r="C27" s="1" t="s">
        <v>37</v>
      </c>
      <c r="D27" s="1" t="s">
        <v>44</v>
      </c>
      <c r="E27" s="1" t="s">
        <v>45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>
        <v>20220701145336</v>
      </c>
      <c r="M27" s="1" t="s">
        <v>83</v>
      </c>
      <c r="N27" s="1" t="s">
        <v>84</v>
      </c>
      <c r="O27">
        <v>7</v>
      </c>
      <c r="P27" s="3">
        <v>44743</v>
      </c>
      <c r="Q27">
        <v>26</v>
      </c>
    </row>
    <row r="28" spans="1:17" x14ac:dyDescent="0.3">
      <c r="A28" s="1" t="s">
        <v>82</v>
      </c>
      <c r="B28" s="2">
        <v>44743.620833333334</v>
      </c>
      <c r="C28" s="1" t="s">
        <v>37</v>
      </c>
      <c r="D28" s="1" t="s">
        <v>41</v>
      </c>
      <c r="E28" s="1" t="s">
        <v>42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>
        <v>20220701145346</v>
      </c>
      <c r="M28" s="1" t="s">
        <v>85</v>
      </c>
      <c r="N28" s="1" t="s">
        <v>84</v>
      </c>
      <c r="O28">
        <v>7</v>
      </c>
      <c r="P28" s="3">
        <v>44743</v>
      </c>
      <c r="Q28">
        <v>26</v>
      </c>
    </row>
    <row r="29" spans="1:17" x14ac:dyDescent="0.3">
      <c r="A29" s="1" t="s">
        <v>86</v>
      </c>
      <c r="B29" s="2">
        <v>44743.620833333334</v>
      </c>
      <c r="C29" s="1" t="s">
        <v>37</v>
      </c>
      <c r="D29" s="1" t="s">
        <v>47</v>
      </c>
      <c r="E29" s="1" t="s">
        <v>48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>
        <v>20220701145403</v>
      </c>
      <c r="M29" s="1" t="s">
        <v>87</v>
      </c>
      <c r="N29" s="1" t="s">
        <v>84</v>
      </c>
      <c r="O29">
        <v>7</v>
      </c>
      <c r="P29" s="3">
        <v>44743</v>
      </c>
      <c r="Q29">
        <v>26</v>
      </c>
    </row>
    <row r="30" spans="1:17" x14ac:dyDescent="0.3">
      <c r="A30" s="1" t="s">
        <v>86</v>
      </c>
      <c r="B30" s="2">
        <v>44743.620833333334</v>
      </c>
      <c r="C30" s="1" t="s">
        <v>37</v>
      </c>
      <c r="D30" s="1" t="s">
        <v>47</v>
      </c>
      <c r="E30" s="1" t="s">
        <v>51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>
        <v>20220701145414</v>
      </c>
      <c r="M30" s="1" t="s">
        <v>88</v>
      </c>
      <c r="N30" s="1" t="s">
        <v>84</v>
      </c>
      <c r="O30">
        <v>7</v>
      </c>
      <c r="P30" s="3">
        <v>44743</v>
      </c>
      <c r="Q30">
        <v>26</v>
      </c>
    </row>
    <row r="31" spans="1:17" x14ac:dyDescent="0.3">
      <c r="A31" s="1" t="s">
        <v>86</v>
      </c>
      <c r="B31" s="2">
        <v>44743.620833333334</v>
      </c>
      <c r="C31" s="1" t="s">
        <v>37</v>
      </c>
      <c r="D31" s="1" t="s">
        <v>53</v>
      </c>
      <c r="E31" s="1" t="s">
        <v>54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>
        <v>20220701145424</v>
      </c>
      <c r="M31" s="1" t="s">
        <v>89</v>
      </c>
      <c r="N31" s="1" t="s">
        <v>84</v>
      </c>
      <c r="O31">
        <v>7</v>
      </c>
      <c r="P31" s="3">
        <v>44743</v>
      </c>
      <c r="Q31">
        <v>26</v>
      </c>
    </row>
    <row r="32" spans="1:17" x14ac:dyDescent="0.3">
      <c r="A32" s="1" t="s">
        <v>86</v>
      </c>
      <c r="B32" s="2">
        <v>44743.620833333334</v>
      </c>
      <c r="C32" s="1" t="s">
        <v>37</v>
      </c>
      <c r="D32" s="1" t="s">
        <v>19</v>
      </c>
      <c r="E32" s="1" t="s">
        <v>58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>
        <v>20220701145433</v>
      </c>
      <c r="M32" s="1" t="s">
        <v>90</v>
      </c>
      <c r="N32" s="1" t="s">
        <v>84</v>
      </c>
      <c r="O32">
        <v>7</v>
      </c>
      <c r="P32" s="3">
        <v>44743</v>
      </c>
      <c r="Q32">
        <v>26</v>
      </c>
    </row>
    <row r="33" spans="1:17" x14ac:dyDescent="0.3">
      <c r="A33" s="1" t="s">
        <v>86</v>
      </c>
      <c r="B33" s="2">
        <v>44743.620833333334</v>
      </c>
      <c r="C33" s="1" t="s">
        <v>37</v>
      </c>
      <c r="D33" s="1" t="s">
        <v>60</v>
      </c>
      <c r="E33" s="1" t="s">
        <v>61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>
        <v>20220701145443</v>
      </c>
      <c r="M33" s="1" t="s">
        <v>91</v>
      </c>
      <c r="N33" s="1" t="s">
        <v>84</v>
      </c>
      <c r="O33">
        <v>7</v>
      </c>
      <c r="P33" s="3">
        <v>44743</v>
      </c>
      <c r="Q33">
        <v>26</v>
      </c>
    </row>
    <row r="34" spans="1:17" x14ac:dyDescent="0.3">
      <c r="A34" s="1" t="s">
        <v>86</v>
      </c>
      <c r="B34" s="2">
        <v>44743.621527777781</v>
      </c>
      <c r="C34" s="1" t="s">
        <v>37</v>
      </c>
      <c r="D34" s="1" t="s">
        <v>29</v>
      </c>
      <c r="E34" s="1" t="s">
        <v>30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>
        <v>20220701145453</v>
      </c>
      <c r="M34" s="1" t="s">
        <v>92</v>
      </c>
      <c r="N34" s="1" t="s">
        <v>84</v>
      </c>
      <c r="O34">
        <v>7</v>
      </c>
      <c r="P34" s="3">
        <v>44743</v>
      </c>
      <c r="Q34">
        <v>26</v>
      </c>
    </row>
    <row r="35" spans="1:17" x14ac:dyDescent="0.3">
      <c r="A35" s="1" t="s">
        <v>93</v>
      </c>
      <c r="B35" s="2">
        <v>44743.621527777781</v>
      </c>
      <c r="C35" s="1" t="s">
        <v>18</v>
      </c>
      <c r="D35" s="1" t="s">
        <v>77</v>
      </c>
      <c r="E35" s="1" t="s">
        <v>77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>
        <v>20220701145505</v>
      </c>
      <c r="M35" s="1" t="s">
        <v>94</v>
      </c>
      <c r="N35" s="1" t="s">
        <v>84</v>
      </c>
      <c r="O35">
        <v>7</v>
      </c>
      <c r="P35" s="3">
        <v>44743</v>
      </c>
      <c r="Q35">
        <v>26</v>
      </c>
    </row>
    <row r="36" spans="1:17" x14ac:dyDescent="0.3">
      <c r="A36" s="1" t="s">
        <v>93</v>
      </c>
      <c r="B36" s="2">
        <v>44743.621527777781</v>
      </c>
      <c r="C36" s="1" t="s">
        <v>18</v>
      </c>
      <c r="D36" s="1" t="s">
        <v>77</v>
      </c>
      <c r="E36" s="1" t="s">
        <v>77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>
        <v>20220701145520</v>
      </c>
      <c r="M36" s="1" t="s">
        <v>95</v>
      </c>
      <c r="N36" s="1" t="s">
        <v>84</v>
      </c>
      <c r="O36">
        <v>7</v>
      </c>
      <c r="P36" s="3">
        <v>44743</v>
      </c>
      <c r="Q36">
        <v>26</v>
      </c>
    </row>
    <row r="37" spans="1:17" x14ac:dyDescent="0.3">
      <c r="A37" s="1" t="s">
        <v>93</v>
      </c>
      <c r="B37" s="2">
        <v>44743.621527777781</v>
      </c>
      <c r="C37" s="1" t="s">
        <v>18</v>
      </c>
      <c r="D37" s="1" t="s">
        <v>77</v>
      </c>
      <c r="E37" s="1" t="s">
        <v>77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>
        <v>20220701145532</v>
      </c>
      <c r="M37" s="1" t="s">
        <v>96</v>
      </c>
      <c r="N37" s="1" t="s">
        <v>84</v>
      </c>
      <c r="O37">
        <v>7</v>
      </c>
      <c r="P37" s="3">
        <v>44743</v>
      </c>
      <c r="Q37">
        <v>26</v>
      </c>
    </row>
    <row r="38" spans="1:17" x14ac:dyDescent="0.3">
      <c r="A38" s="1" t="s">
        <v>97</v>
      </c>
      <c r="B38" s="2">
        <v>44743.625</v>
      </c>
      <c r="C38" s="1" t="s">
        <v>37</v>
      </c>
      <c r="D38" s="1" t="s">
        <v>38</v>
      </c>
      <c r="E38" s="1" t="s">
        <v>39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>
        <v>20220701150005</v>
      </c>
      <c r="M38" s="1" t="s">
        <v>98</v>
      </c>
      <c r="N38" s="1" t="s">
        <v>84</v>
      </c>
      <c r="O38">
        <v>7</v>
      </c>
      <c r="P38" s="3">
        <v>44743</v>
      </c>
      <c r="Q38">
        <v>26</v>
      </c>
    </row>
    <row r="39" spans="1:17" x14ac:dyDescent="0.3">
      <c r="A39" s="1" t="s">
        <v>99</v>
      </c>
      <c r="B39" s="2">
        <v>44744.570833333331</v>
      </c>
      <c r="C39" s="1" t="s">
        <v>37</v>
      </c>
      <c r="D39" s="1" t="s">
        <v>38</v>
      </c>
      <c r="E39" s="1" t="s">
        <v>39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>
        <v>20220702134219</v>
      </c>
      <c r="M39" s="1" t="s">
        <v>100</v>
      </c>
      <c r="N39" s="1" t="s">
        <v>101</v>
      </c>
      <c r="O39">
        <v>7</v>
      </c>
      <c r="P39" s="3">
        <v>44744</v>
      </c>
      <c r="Q39">
        <v>26</v>
      </c>
    </row>
    <row r="40" spans="1:17" x14ac:dyDescent="0.3">
      <c r="A40" s="1" t="s">
        <v>102</v>
      </c>
      <c r="B40" s="2">
        <v>44744.570833333331</v>
      </c>
      <c r="C40" s="1" t="s">
        <v>37</v>
      </c>
      <c r="D40" s="1" t="s">
        <v>41</v>
      </c>
      <c r="E40" s="1" t="s">
        <v>42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>
        <v>20220702134229</v>
      </c>
      <c r="M40" s="1" t="s">
        <v>103</v>
      </c>
      <c r="N40" s="1" t="s">
        <v>101</v>
      </c>
      <c r="O40">
        <v>7</v>
      </c>
      <c r="P40" s="3">
        <v>44744</v>
      </c>
      <c r="Q40">
        <v>26</v>
      </c>
    </row>
    <row r="41" spans="1:17" x14ac:dyDescent="0.3">
      <c r="A41" s="1" t="s">
        <v>102</v>
      </c>
      <c r="B41" s="2">
        <v>44744.570833333331</v>
      </c>
      <c r="C41" s="1" t="s">
        <v>37</v>
      </c>
      <c r="D41" s="1" t="s">
        <v>44</v>
      </c>
      <c r="E41" s="1" t="s">
        <v>45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>
        <v>20220702134237</v>
      </c>
      <c r="M41" s="1" t="s">
        <v>104</v>
      </c>
      <c r="N41" s="1" t="s">
        <v>101</v>
      </c>
      <c r="O41">
        <v>7</v>
      </c>
      <c r="P41" s="3">
        <v>44744</v>
      </c>
      <c r="Q41">
        <v>26</v>
      </c>
    </row>
    <row r="42" spans="1:17" x14ac:dyDescent="0.3">
      <c r="A42" s="1" t="s">
        <v>102</v>
      </c>
      <c r="B42" s="2">
        <v>44744.571527777778</v>
      </c>
      <c r="C42" s="1" t="s">
        <v>37</v>
      </c>
      <c r="D42" s="1" t="s">
        <v>47</v>
      </c>
      <c r="E42" s="1" t="s">
        <v>51</v>
      </c>
      <c r="F42" s="1" t="s">
        <v>20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20</v>
      </c>
      <c r="L42">
        <v>20220702134255</v>
      </c>
      <c r="M42" s="1" t="s">
        <v>105</v>
      </c>
      <c r="N42" s="1" t="s">
        <v>101</v>
      </c>
      <c r="O42">
        <v>7</v>
      </c>
      <c r="P42" s="3">
        <v>44744</v>
      </c>
      <c r="Q42">
        <v>26</v>
      </c>
    </row>
    <row r="43" spans="1:17" x14ac:dyDescent="0.3">
      <c r="A43" s="1" t="s">
        <v>106</v>
      </c>
      <c r="B43" s="2">
        <v>44744.571527777778</v>
      </c>
      <c r="C43" s="1" t="s">
        <v>37</v>
      </c>
      <c r="D43" s="1" t="s">
        <v>60</v>
      </c>
      <c r="E43" s="1" t="s">
        <v>61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>
        <v>20220702134316</v>
      </c>
      <c r="M43" s="1" t="s">
        <v>107</v>
      </c>
      <c r="N43" s="1" t="s">
        <v>101</v>
      </c>
      <c r="O43">
        <v>7</v>
      </c>
      <c r="P43" s="3">
        <v>44744</v>
      </c>
      <c r="Q43">
        <v>26</v>
      </c>
    </row>
    <row r="44" spans="1:17" x14ac:dyDescent="0.3">
      <c r="A44" s="1" t="s">
        <v>108</v>
      </c>
      <c r="B44" s="2">
        <v>44744.572916666664</v>
      </c>
      <c r="C44" s="1" t="s">
        <v>37</v>
      </c>
      <c r="D44" s="1" t="s">
        <v>53</v>
      </c>
      <c r="E44" s="1" t="s">
        <v>56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>
        <v>20220702134446</v>
      </c>
      <c r="M44" s="1" t="s">
        <v>109</v>
      </c>
      <c r="N44" s="1" t="s">
        <v>101</v>
      </c>
      <c r="O44">
        <v>7</v>
      </c>
      <c r="P44" s="3">
        <v>44744</v>
      </c>
      <c r="Q44">
        <v>26</v>
      </c>
    </row>
    <row r="45" spans="1:17" x14ac:dyDescent="0.3">
      <c r="A45" s="1" t="s">
        <v>106</v>
      </c>
      <c r="B45" s="2">
        <v>44744.571527777778</v>
      </c>
      <c r="C45" s="1" t="s">
        <v>18</v>
      </c>
      <c r="D45" s="1" t="s">
        <v>77</v>
      </c>
      <c r="E45" s="1" t="s">
        <v>77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>
        <v>20220702134327</v>
      </c>
      <c r="M45" s="1" t="s">
        <v>110</v>
      </c>
      <c r="N45" s="1" t="s">
        <v>101</v>
      </c>
      <c r="O45">
        <v>7</v>
      </c>
      <c r="P45" s="3">
        <v>44744</v>
      </c>
      <c r="Q45">
        <v>26</v>
      </c>
    </row>
    <row r="46" spans="1:17" x14ac:dyDescent="0.3">
      <c r="A46" s="1" t="s">
        <v>106</v>
      </c>
      <c r="B46" s="2">
        <v>44744.571527777778</v>
      </c>
      <c r="C46" s="1" t="s">
        <v>18</v>
      </c>
      <c r="D46" s="1" t="s">
        <v>77</v>
      </c>
      <c r="E46" s="1" t="s">
        <v>77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>
        <v>20220702134344</v>
      </c>
      <c r="M46" s="1" t="s">
        <v>111</v>
      </c>
      <c r="N46" s="1" t="s">
        <v>101</v>
      </c>
      <c r="O46">
        <v>7</v>
      </c>
      <c r="P46" s="3">
        <v>44744</v>
      </c>
      <c r="Q46">
        <v>26</v>
      </c>
    </row>
    <row r="47" spans="1:17" x14ac:dyDescent="0.3">
      <c r="A47" s="1" t="s">
        <v>106</v>
      </c>
      <c r="B47" s="2">
        <v>44744.572222222225</v>
      </c>
      <c r="C47" s="1" t="s">
        <v>18</v>
      </c>
      <c r="D47" s="1" t="s">
        <v>77</v>
      </c>
      <c r="E47" s="1" t="s">
        <v>77</v>
      </c>
      <c r="F47" s="1" t="s">
        <v>20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>
        <v>20220702134353</v>
      </c>
      <c r="M47" s="1" t="s">
        <v>112</v>
      </c>
      <c r="N47" s="1" t="s">
        <v>101</v>
      </c>
      <c r="O47">
        <v>7</v>
      </c>
      <c r="P47" s="3">
        <v>44744</v>
      </c>
      <c r="Q47">
        <v>26</v>
      </c>
    </row>
    <row r="48" spans="1:17" x14ac:dyDescent="0.3">
      <c r="A48" s="1" t="s">
        <v>108</v>
      </c>
      <c r="B48" s="2">
        <v>44744.572222222225</v>
      </c>
      <c r="C48" s="1" t="s">
        <v>18</v>
      </c>
      <c r="D48" s="1" t="s">
        <v>77</v>
      </c>
      <c r="E48" s="1" t="s">
        <v>77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>
        <v>20220702134429</v>
      </c>
      <c r="M48" s="1" t="s">
        <v>113</v>
      </c>
      <c r="N48" s="1" t="s">
        <v>101</v>
      </c>
      <c r="O48">
        <v>7</v>
      </c>
      <c r="P48" s="3">
        <v>44744</v>
      </c>
      <c r="Q48">
        <v>26</v>
      </c>
    </row>
    <row r="49" spans="1:17" x14ac:dyDescent="0.3">
      <c r="A49" s="1" t="s">
        <v>102</v>
      </c>
      <c r="B49" s="2">
        <v>44744.570833333331</v>
      </c>
      <c r="C49" s="1" t="s">
        <v>18</v>
      </c>
      <c r="D49" s="1" t="s">
        <v>77</v>
      </c>
      <c r="E49" s="1" t="s">
        <v>77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>
        <v>20220702134246</v>
      </c>
      <c r="M49" s="1" t="s">
        <v>114</v>
      </c>
      <c r="N49" s="1" t="s">
        <v>101</v>
      </c>
      <c r="O49">
        <v>7</v>
      </c>
      <c r="P49" s="3">
        <v>44744</v>
      </c>
      <c r="Q49">
        <v>26</v>
      </c>
    </row>
    <row r="50" spans="1:17" x14ac:dyDescent="0.3">
      <c r="A50" s="1" t="s">
        <v>115</v>
      </c>
      <c r="B50" s="2">
        <v>44744.572916666664</v>
      </c>
      <c r="C50" s="1" t="s">
        <v>18</v>
      </c>
      <c r="D50" s="1" t="s">
        <v>77</v>
      </c>
      <c r="E50" s="1" t="s">
        <v>77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>
        <v>20220702134504</v>
      </c>
      <c r="M50" s="1" t="s">
        <v>116</v>
      </c>
      <c r="N50" s="1" t="s">
        <v>101</v>
      </c>
      <c r="O50">
        <v>7</v>
      </c>
      <c r="P50" s="3">
        <v>44744</v>
      </c>
      <c r="Q50">
        <v>26</v>
      </c>
    </row>
    <row r="51" spans="1:17" x14ac:dyDescent="0.3">
      <c r="A51" s="1" t="s">
        <v>115</v>
      </c>
      <c r="B51" s="2">
        <v>44744.573611111111</v>
      </c>
      <c r="C51" s="1" t="s">
        <v>18</v>
      </c>
      <c r="D51" s="1" t="s">
        <v>77</v>
      </c>
      <c r="E51" s="1" t="s">
        <v>77</v>
      </c>
      <c r="F51" s="1" t="s">
        <v>20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20</v>
      </c>
      <c r="L51">
        <v>20220702134539</v>
      </c>
      <c r="M51" s="1" t="s">
        <v>117</v>
      </c>
      <c r="N51" s="1" t="s">
        <v>101</v>
      </c>
      <c r="O51">
        <v>7</v>
      </c>
      <c r="P51" s="3">
        <v>44744</v>
      </c>
      <c r="Q51">
        <v>26</v>
      </c>
    </row>
    <row r="52" spans="1:17" x14ac:dyDescent="0.3">
      <c r="A52" s="1" t="s">
        <v>118</v>
      </c>
      <c r="B52" s="2">
        <v>44746.379166666666</v>
      </c>
      <c r="C52" s="1" t="s">
        <v>37</v>
      </c>
      <c r="D52" s="1" t="s">
        <v>53</v>
      </c>
      <c r="E52" s="1" t="s">
        <v>54</v>
      </c>
      <c r="F52" s="1" t="s">
        <v>20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20</v>
      </c>
      <c r="L52">
        <v>20220704090649</v>
      </c>
      <c r="M52" s="1" t="s">
        <v>119</v>
      </c>
      <c r="N52" s="1" t="s">
        <v>120</v>
      </c>
      <c r="O52">
        <v>7</v>
      </c>
      <c r="P52" s="3">
        <v>44746</v>
      </c>
      <c r="Q52">
        <v>27</v>
      </c>
    </row>
    <row r="53" spans="1:17" x14ac:dyDescent="0.3">
      <c r="A53" s="1" t="s">
        <v>121</v>
      </c>
      <c r="B53" s="2">
        <v>44746.379861111112</v>
      </c>
      <c r="C53" s="1" t="s">
        <v>37</v>
      </c>
      <c r="D53" s="1" t="s">
        <v>19</v>
      </c>
      <c r="E53" s="1" t="s">
        <v>58</v>
      </c>
      <c r="F53" s="1" t="s">
        <v>20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>
        <v>20220704090702</v>
      </c>
      <c r="M53" s="1" t="s">
        <v>122</v>
      </c>
      <c r="N53" s="1" t="s">
        <v>120</v>
      </c>
      <c r="O53">
        <v>7</v>
      </c>
      <c r="P53" s="3">
        <v>44746</v>
      </c>
      <c r="Q53">
        <v>27</v>
      </c>
    </row>
    <row r="54" spans="1:17" x14ac:dyDescent="0.3">
      <c r="A54" s="1" t="s">
        <v>121</v>
      </c>
      <c r="B54" s="2">
        <v>44746.379861111112</v>
      </c>
      <c r="C54" s="1" t="s">
        <v>37</v>
      </c>
      <c r="D54" s="1" t="s">
        <v>60</v>
      </c>
      <c r="E54" s="1" t="s">
        <v>61</v>
      </c>
      <c r="F54" s="1" t="s">
        <v>20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>
        <v>20220704090711</v>
      </c>
      <c r="M54" s="1" t="s">
        <v>123</v>
      </c>
      <c r="N54" s="1" t="s">
        <v>120</v>
      </c>
      <c r="O54">
        <v>7</v>
      </c>
      <c r="P54" s="3">
        <v>44746</v>
      </c>
      <c r="Q54">
        <v>27</v>
      </c>
    </row>
    <row r="55" spans="1:17" x14ac:dyDescent="0.3">
      <c r="A55" s="1" t="s">
        <v>121</v>
      </c>
      <c r="B55" s="2">
        <v>44746.379861111112</v>
      </c>
      <c r="C55" s="1" t="s">
        <v>37</v>
      </c>
      <c r="D55" s="1" t="s">
        <v>47</v>
      </c>
      <c r="E55" s="1" t="s">
        <v>51</v>
      </c>
      <c r="F55" s="1" t="s">
        <v>20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>
        <v>20220704090720</v>
      </c>
      <c r="M55" s="1" t="s">
        <v>124</v>
      </c>
      <c r="N55" s="1" t="s">
        <v>120</v>
      </c>
      <c r="O55">
        <v>7</v>
      </c>
      <c r="P55" s="3">
        <v>44746</v>
      </c>
      <c r="Q55">
        <v>27</v>
      </c>
    </row>
    <row r="56" spans="1:17" x14ac:dyDescent="0.3">
      <c r="A56" s="1" t="s">
        <v>121</v>
      </c>
      <c r="B56" s="2">
        <v>44746.379861111112</v>
      </c>
      <c r="C56" s="1" t="s">
        <v>37</v>
      </c>
      <c r="D56" s="1" t="s">
        <v>29</v>
      </c>
      <c r="E56" s="1" t="s">
        <v>30</v>
      </c>
      <c r="F56" s="1" t="s">
        <v>20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>
        <v>20220704090731</v>
      </c>
      <c r="M56" s="1" t="s">
        <v>125</v>
      </c>
      <c r="N56" s="1" t="s">
        <v>120</v>
      </c>
      <c r="O56">
        <v>7</v>
      </c>
      <c r="P56" s="3">
        <v>44746</v>
      </c>
      <c r="Q56">
        <v>27</v>
      </c>
    </row>
    <row r="57" spans="1:17" x14ac:dyDescent="0.3">
      <c r="A57" s="1" t="s">
        <v>126</v>
      </c>
      <c r="B57" s="2">
        <v>44746.385416666664</v>
      </c>
      <c r="C57" s="1" t="s">
        <v>37</v>
      </c>
      <c r="D57" s="1" t="s">
        <v>47</v>
      </c>
      <c r="E57" s="1" t="s">
        <v>48</v>
      </c>
      <c r="F57" s="1" t="s">
        <v>20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20</v>
      </c>
      <c r="L57">
        <v>20220704091529</v>
      </c>
      <c r="M57" s="1" t="s">
        <v>127</v>
      </c>
      <c r="N57" s="1" t="s">
        <v>120</v>
      </c>
      <c r="O57">
        <v>7</v>
      </c>
      <c r="P57" s="3">
        <v>44746</v>
      </c>
      <c r="Q57">
        <v>27</v>
      </c>
    </row>
    <row r="58" spans="1:17" x14ac:dyDescent="0.3">
      <c r="A58" s="1" t="s">
        <v>126</v>
      </c>
      <c r="B58" s="2">
        <v>44746.385416666664</v>
      </c>
      <c r="C58" s="1" t="s">
        <v>37</v>
      </c>
      <c r="D58" s="1" t="s">
        <v>44</v>
      </c>
      <c r="E58" s="1" t="s">
        <v>45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>
        <v>20220704091538</v>
      </c>
      <c r="M58" s="1" t="s">
        <v>128</v>
      </c>
      <c r="N58" s="1" t="s">
        <v>120</v>
      </c>
      <c r="O58">
        <v>7</v>
      </c>
      <c r="P58" s="3">
        <v>44746</v>
      </c>
      <c r="Q58">
        <v>27</v>
      </c>
    </row>
    <row r="59" spans="1:17" x14ac:dyDescent="0.3">
      <c r="A59" s="1" t="s">
        <v>129</v>
      </c>
      <c r="B59" s="2">
        <v>44746.386805555558</v>
      </c>
      <c r="C59" s="1" t="s">
        <v>37</v>
      </c>
      <c r="D59" s="1" t="s">
        <v>41</v>
      </c>
      <c r="E59" s="1" t="s">
        <v>42</v>
      </c>
      <c r="F59" s="1" t="s">
        <v>20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>
        <v>20220704091737</v>
      </c>
      <c r="M59" s="1" t="s">
        <v>130</v>
      </c>
      <c r="N59" s="1" t="s">
        <v>120</v>
      </c>
      <c r="O59">
        <v>7</v>
      </c>
      <c r="P59" s="3">
        <v>44746</v>
      </c>
      <c r="Q59">
        <v>27</v>
      </c>
    </row>
    <row r="60" spans="1:17" x14ac:dyDescent="0.3">
      <c r="A60" s="1" t="s">
        <v>129</v>
      </c>
      <c r="B60" s="2">
        <v>44746.386805555558</v>
      </c>
      <c r="C60" s="1" t="s">
        <v>37</v>
      </c>
      <c r="D60" s="1" t="s">
        <v>38</v>
      </c>
      <c r="E60" s="1" t="s">
        <v>39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>
        <v>20220704091747</v>
      </c>
      <c r="M60" s="1" t="s">
        <v>131</v>
      </c>
      <c r="N60" s="1" t="s">
        <v>120</v>
      </c>
      <c r="O60">
        <v>7</v>
      </c>
      <c r="P60" s="3">
        <v>44746</v>
      </c>
      <c r="Q60">
        <v>27</v>
      </c>
    </row>
    <row r="61" spans="1:17" x14ac:dyDescent="0.3">
      <c r="A61" s="1" t="s">
        <v>132</v>
      </c>
      <c r="B61" s="2">
        <v>44746.509027777778</v>
      </c>
      <c r="C61" s="1" t="s">
        <v>37</v>
      </c>
      <c r="D61" s="1" t="s">
        <v>53</v>
      </c>
      <c r="E61" s="1" t="s">
        <v>56</v>
      </c>
      <c r="F61" s="1" t="s">
        <v>20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>
        <v>20220704121316</v>
      </c>
      <c r="M61" s="1" t="s">
        <v>133</v>
      </c>
      <c r="N61" s="1" t="s">
        <v>120</v>
      </c>
      <c r="O61">
        <v>7</v>
      </c>
      <c r="P61" s="3">
        <v>44746</v>
      </c>
      <c r="Q61">
        <v>27</v>
      </c>
    </row>
    <row r="62" spans="1:17" x14ac:dyDescent="0.3">
      <c r="A62" s="1" t="s">
        <v>132</v>
      </c>
      <c r="B62" s="2">
        <v>44746.509027777778</v>
      </c>
      <c r="C62" s="1" t="s">
        <v>18</v>
      </c>
      <c r="D62" s="1" t="s">
        <v>77</v>
      </c>
      <c r="E62" s="1" t="s">
        <v>77</v>
      </c>
      <c r="F62" s="1" t="s">
        <v>20</v>
      </c>
      <c r="G62" s="1" t="s">
        <v>20</v>
      </c>
      <c r="H62" s="1" t="s">
        <v>20</v>
      </c>
      <c r="I62" s="1" t="s">
        <v>20</v>
      </c>
      <c r="J62" s="1" t="s">
        <v>20</v>
      </c>
      <c r="K62" s="1" t="s">
        <v>20</v>
      </c>
      <c r="L62">
        <v>20220704121338</v>
      </c>
      <c r="M62" s="1" t="s">
        <v>134</v>
      </c>
      <c r="N62" s="1" t="s">
        <v>120</v>
      </c>
      <c r="O62">
        <v>7</v>
      </c>
      <c r="P62" s="3">
        <v>44746</v>
      </c>
      <c r="Q62">
        <v>27</v>
      </c>
    </row>
    <row r="63" spans="1:17" x14ac:dyDescent="0.3">
      <c r="A63" s="1" t="s">
        <v>132</v>
      </c>
      <c r="B63" s="2">
        <v>44746.509722222225</v>
      </c>
      <c r="C63" s="1" t="s">
        <v>18</v>
      </c>
      <c r="D63" s="1" t="s">
        <v>77</v>
      </c>
      <c r="E63" s="1" t="s">
        <v>77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20</v>
      </c>
      <c r="L63">
        <v>20220704121350</v>
      </c>
      <c r="M63" s="1" t="s">
        <v>135</v>
      </c>
      <c r="N63" s="1" t="s">
        <v>120</v>
      </c>
      <c r="O63">
        <v>7</v>
      </c>
      <c r="P63" s="3">
        <v>44746</v>
      </c>
      <c r="Q63">
        <v>27</v>
      </c>
    </row>
    <row r="64" spans="1:17" x14ac:dyDescent="0.3">
      <c r="A64" s="1" t="s">
        <v>136</v>
      </c>
      <c r="B64" s="2">
        <v>44746.622916666667</v>
      </c>
      <c r="C64" s="1" t="s">
        <v>37</v>
      </c>
      <c r="D64" s="1" t="s">
        <v>26</v>
      </c>
      <c r="E64" s="1" t="s">
        <v>27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>
        <v>20220704145740</v>
      </c>
      <c r="M64" s="1" t="s">
        <v>137</v>
      </c>
      <c r="N64" s="1" t="s">
        <v>120</v>
      </c>
      <c r="O64">
        <v>7</v>
      </c>
      <c r="P64" s="3">
        <v>44746</v>
      </c>
      <c r="Q64">
        <v>27</v>
      </c>
    </row>
    <row r="65" spans="1:17" x14ac:dyDescent="0.3">
      <c r="A65" s="1" t="s">
        <v>138</v>
      </c>
      <c r="B65" s="2">
        <v>44747.408333333333</v>
      </c>
      <c r="C65" s="1" t="s">
        <v>37</v>
      </c>
      <c r="D65" s="1" t="s">
        <v>29</v>
      </c>
      <c r="E65" s="1" t="s">
        <v>30</v>
      </c>
      <c r="F65" s="1" t="s">
        <v>20</v>
      </c>
      <c r="G65" s="1" t="s">
        <v>20</v>
      </c>
      <c r="H65" s="1" t="s">
        <v>20</v>
      </c>
      <c r="I65" s="1" t="s">
        <v>20</v>
      </c>
      <c r="J65" s="1" t="s">
        <v>20</v>
      </c>
      <c r="K65" s="1" t="s">
        <v>20</v>
      </c>
      <c r="L65">
        <v>20220705094839</v>
      </c>
      <c r="M65" s="1" t="s">
        <v>139</v>
      </c>
      <c r="N65" s="1" t="s">
        <v>140</v>
      </c>
      <c r="O65">
        <v>7</v>
      </c>
      <c r="P65" s="3">
        <v>44747</v>
      </c>
      <c r="Q65">
        <v>27</v>
      </c>
    </row>
    <row r="66" spans="1:17" x14ac:dyDescent="0.3">
      <c r="A66" s="1" t="s">
        <v>138</v>
      </c>
      <c r="B66" s="2">
        <v>44747.40902777778</v>
      </c>
      <c r="C66" s="1" t="s">
        <v>37</v>
      </c>
      <c r="D66" s="1" t="s">
        <v>60</v>
      </c>
      <c r="E66" s="1" t="s">
        <v>61</v>
      </c>
      <c r="F66" s="1" t="s">
        <v>20</v>
      </c>
      <c r="G66" s="1" t="s">
        <v>20</v>
      </c>
      <c r="H66" s="1" t="s">
        <v>20</v>
      </c>
      <c r="I66" s="1" t="s">
        <v>20</v>
      </c>
      <c r="J66" s="1" t="s">
        <v>20</v>
      </c>
      <c r="K66" s="1" t="s">
        <v>20</v>
      </c>
      <c r="L66">
        <v>20220705094853</v>
      </c>
      <c r="M66" s="1" t="s">
        <v>141</v>
      </c>
      <c r="N66" s="1" t="s">
        <v>140</v>
      </c>
      <c r="O66">
        <v>7</v>
      </c>
      <c r="P66" s="3">
        <v>44747</v>
      </c>
      <c r="Q66">
        <v>27</v>
      </c>
    </row>
    <row r="67" spans="1:17" x14ac:dyDescent="0.3">
      <c r="A67" s="1" t="s">
        <v>142</v>
      </c>
      <c r="B67" s="2">
        <v>44747.40902777778</v>
      </c>
      <c r="C67" s="1" t="s">
        <v>37</v>
      </c>
      <c r="D67" s="1" t="s">
        <v>19</v>
      </c>
      <c r="E67" s="1" t="s">
        <v>58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>
        <v>20220705094903</v>
      </c>
      <c r="M67" s="1" t="s">
        <v>143</v>
      </c>
      <c r="N67" s="1" t="s">
        <v>140</v>
      </c>
      <c r="O67">
        <v>7</v>
      </c>
      <c r="P67" s="3">
        <v>44747</v>
      </c>
      <c r="Q67">
        <v>27</v>
      </c>
    </row>
    <row r="68" spans="1:17" x14ac:dyDescent="0.3">
      <c r="A68" s="1" t="s">
        <v>142</v>
      </c>
      <c r="B68" s="2">
        <v>44747.40902777778</v>
      </c>
      <c r="C68" s="1" t="s">
        <v>37</v>
      </c>
      <c r="D68" s="1" t="s">
        <v>53</v>
      </c>
      <c r="E68" s="1" t="s">
        <v>54</v>
      </c>
      <c r="F68" s="1" t="s">
        <v>20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20</v>
      </c>
      <c r="L68">
        <v>20220705094911</v>
      </c>
      <c r="M68" s="1" t="s">
        <v>144</v>
      </c>
      <c r="N68" s="1" t="s">
        <v>140</v>
      </c>
      <c r="O68">
        <v>7</v>
      </c>
      <c r="P68" s="3">
        <v>44747</v>
      </c>
      <c r="Q68">
        <v>27</v>
      </c>
    </row>
    <row r="69" spans="1:17" x14ac:dyDescent="0.3">
      <c r="A69" s="1" t="s">
        <v>142</v>
      </c>
      <c r="B69" s="2">
        <v>44747.40902777778</v>
      </c>
      <c r="C69" s="1" t="s">
        <v>37</v>
      </c>
      <c r="D69" s="1" t="s">
        <v>47</v>
      </c>
      <c r="E69" s="1" t="s">
        <v>51</v>
      </c>
      <c r="F69" s="1" t="s">
        <v>20</v>
      </c>
      <c r="G69" s="1" t="s">
        <v>20</v>
      </c>
      <c r="H69" s="1" t="s">
        <v>20</v>
      </c>
      <c r="I69" s="1" t="s">
        <v>20</v>
      </c>
      <c r="J69" s="1" t="s">
        <v>20</v>
      </c>
      <c r="K69" s="1" t="s">
        <v>20</v>
      </c>
      <c r="L69">
        <v>20220705094921</v>
      </c>
      <c r="M69" s="1" t="s">
        <v>145</v>
      </c>
      <c r="N69" s="1" t="s">
        <v>140</v>
      </c>
      <c r="O69">
        <v>7</v>
      </c>
      <c r="P69" s="3">
        <v>44747</v>
      </c>
      <c r="Q69">
        <v>27</v>
      </c>
    </row>
    <row r="70" spans="1:17" x14ac:dyDescent="0.3">
      <c r="A70" s="1" t="s">
        <v>142</v>
      </c>
      <c r="B70" s="2">
        <v>44747.40902777778</v>
      </c>
      <c r="C70" s="1" t="s">
        <v>37</v>
      </c>
      <c r="D70" s="1" t="s">
        <v>47</v>
      </c>
      <c r="E70" s="1" t="s">
        <v>48</v>
      </c>
      <c r="F70" s="1" t="s">
        <v>20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20</v>
      </c>
      <c r="L70">
        <v>20220705094931</v>
      </c>
      <c r="M70" s="1" t="s">
        <v>146</v>
      </c>
      <c r="N70" s="1" t="s">
        <v>140</v>
      </c>
      <c r="O70">
        <v>7</v>
      </c>
      <c r="P70" s="3">
        <v>44747</v>
      </c>
      <c r="Q70">
        <v>27</v>
      </c>
    </row>
    <row r="71" spans="1:17" x14ac:dyDescent="0.3">
      <c r="A71" s="1" t="s">
        <v>142</v>
      </c>
      <c r="B71" s="2">
        <v>44747.40902777778</v>
      </c>
      <c r="C71" s="1" t="s">
        <v>37</v>
      </c>
      <c r="D71" s="1" t="s">
        <v>44</v>
      </c>
      <c r="E71" s="1" t="s">
        <v>45</v>
      </c>
      <c r="F71" s="1" t="s">
        <v>20</v>
      </c>
      <c r="G71" s="1" t="s">
        <v>20</v>
      </c>
      <c r="H71" s="1" t="s">
        <v>20</v>
      </c>
      <c r="I71" s="1" t="s">
        <v>20</v>
      </c>
      <c r="J71" s="1" t="s">
        <v>20</v>
      </c>
      <c r="K71" s="1" t="s">
        <v>20</v>
      </c>
      <c r="L71">
        <v>20220705094940</v>
      </c>
      <c r="M71" s="1" t="s">
        <v>147</v>
      </c>
      <c r="N71" s="1" t="s">
        <v>140</v>
      </c>
      <c r="O71">
        <v>7</v>
      </c>
      <c r="P71" s="3">
        <v>44747</v>
      </c>
      <c r="Q71">
        <v>27</v>
      </c>
    </row>
    <row r="72" spans="1:17" x14ac:dyDescent="0.3">
      <c r="A72" s="1" t="s">
        <v>142</v>
      </c>
      <c r="B72" s="2">
        <v>44747.409722222219</v>
      </c>
      <c r="C72" s="1" t="s">
        <v>18</v>
      </c>
      <c r="D72" s="1" t="s">
        <v>20</v>
      </c>
      <c r="E72" s="1" t="s">
        <v>20</v>
      </c>
      <c r="F72" s="1" t="s">
        <v>20</v>
      </c>
      <c r="G72" s="1" t="s">
        <v>20</v>
      </c>
      <c r="H72" s="1" t="s">
        <v>20</v>
      </c>
      <c r="I72" s="1" t="s">
        <v>20</v>
      </c>
      <c r="J72" s="1" t="s">
        <v>20</v>
      </c>
      <c r="K72" s="1" t="s">
        <v>20</v>
      </c>
      <c r="L72">
        <v>20220705094953</v>
      </c>
      <c r="M72" s="1" t="s">
        <v>148</v>
      </c>
      <c r="N72" s="1" t="s">
        <v>140</v>
      </c>
      <c r="O72">
        <v>7</v>
      </c>
      <c r="P72" s="3">
        <v>44747</v>
      </c>
      <c r="Q72">
        <v>27</v>
      </c>
    </row>
    <row r="73" spans="1:17" x14ac:dyDescent="0.3">
      <c r="A73" s="1" t="s">
        <v>149</v>
      </c>
      <c r="B73" s="2">
        <v>44747.409722222219</v>
      </c>
      <c r="C73" s="1" t="s">
        <v>37</v>
      </c>
      <c r="D73" s="1" t="s">
        <v>38</v>
      </c>
      <c r="E73" s="1" t="s">
        <v>39</v>
      </c>
      <c r="F73" s="1" t="s">
        <v>20</v>
      </c>
      <c r="G73" s="1" t="s">
        <v>20</v>
      </c>
      <c r="H73" s="1" t="s">
        <v>20</v>
      </c>
      <c r="I73" s="1" t="s">
        <v>20</v>
      </c>
      <c r="J73" s="1" t="s">
        <v>20</v>
      </c>
      <c r="K73" s="1" t="s">
        <v>20</v>
      </c>
      <c r="L73">
        <v>20220705095004</v>
      </c>
      <c r="M73" s="1" t="s">
        <v>150</v>
      </c>
      <c r="N73" s="1" t="s">
        <v>140</v>
      </c>
      <c r="O73">
        <v>7</v>
      </c>
      <c r="P73" s="3">
        <v>44747</v>
      </c>
      <c r="Q73">
        <v>27</v>
      </c>
    </row>
    <row r="74" spans="1:17" x14ac:dyDescent="0.3">
      <c r="A74" s="1" t="s">
        <v>149</v>
      </c>
      <c r="B74" s="2">
        <v>44747.409722222219</v>
      </c>
      <c r="C74" s="1" t="s">
        <v>18</v>
      </c>
      <c r="D74" s="1" t="s">
        <v>77</v>
      </c>
      <c r="E74" s="1" t="s">
        <v>77</v>
      </c>
      <c r="F74" s="1" t="s">
        <v>20</v>
      </c>
      <c r="G74" s="1" t="s">
        <v>20</v>
      </c>
      <c r="H74" s="1" t="s">
        <v>20</v>
      </c>
      <c r="I74" s="1" t="s">
        <v>20</v>
      </c>
      <c r="J74" s="1" t="s">
        <v>20</v>
      </c>
      <c r="K74" s="1" t="s">
        <v>20</v>
      </c>
      <c r="L74">
        <v>20220705095013</v>
      </c>
      <c r="M74" s="1" t="s">
        <v>151</v>
      </c>
      <c r="N74" s="1" t="s">
        <v>140</v>
      </c>
      <c r="O74">
        <v>7</v>
      </c>
      <c r="P74" s="3">
        <v>44747</v>
      </c>
      <c r="Q74">
        <v>27</v>
      </c>
    </row>
    <row r="75" spans="1:17" x14ac:dyDescent="0.3">
      <c r="A75" s="1" t="s">
        <v>152</v>
      </c>
      <c r="B75" s="2">
        <v>44747.536111111112</v>
      </c>
      <c r="C75" s="1" t="s">
        <v>18</v>
      </c>
      <c r="D75" s="1" t="s">
        <v>77</v>
      </c>
      <c r="E75" s="1" t="s">
        <v>77</v>
      </c>
      <c r="F75" s="1" t="s">
        <v>20</v>
      </c>
      <c r="G75" s="1" t="s">
        <v>20</v>
      </c>
      <c r="H75" s="1" t="s">
        <v>20</v>
      </c>
      <c r="I75" s="1" t="s">
        <v>20</v>
      </c>
      <c r="J75" s="1" t="s">
        <v>20</v>
      </c>
      <c r="K75" s="1" t="s">
        <v>20</v>
      </c>
      <c r="L75">
        <v>20220705125238</v>
      </c>
      <c r="M75" s="1" t="s">
        <v>153</v>
      </c>
      <c r="N75" s="1" t="s">
        <v>140</v>
      </c>
      <c r="O75">
        <v>7</v>
      </c>
      <c r="P75" s="3">
        <v>44747</v>
      </c>
      <c r="Q75">
        <v>27</v>
      </c>
    </row>
    <row r="76" spans="1:17" x14ac:dyDescent="0.3">
      <c r="A76" s="1" t="s">
        <v>152</v>
      </c>
      <c r="B76" s="2">
        <v>44747.536805555559</v>
      </c>
      <c r="C76" s="1" t="s">
        <v>18</v>
      </c>
      <c r="D76" s="1" t="s">
        <v>26</v>
      </c>
      <c r="E76" s="1" t="s">
        <v>27</v>
      </c>
      <c r="F76" s="1" t="s">
        <v>20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20</v>
      </c>
      <c r="L76">
        <v>20220705125257</v>
      </c>
      <c r="M76" s="1" t="s">
        <v>154</v>
      </c>
      <c r="N76" s="1" t="s">
        <v>140</v>
      </c>
      <c r="O76">
        <v>7</v>
      </c>
      <c r="P76" s="3">
        <v>44747</v>
      </c>
      <c r="Q76">
        <v>27</v>
      </c>
    </row>
    <row r="77" spans="1:17" x14ac:dyDescent="0.3">
      <c r="A77" s="1" t="s">
        <v>155</v>
      </c>
      <c r="B77" s="2">
        <v>44747.536805555559</v>
      </c>
      <c r="C77" s="1" t="s">
        <v>18</v>
      </c>
      <c r="D77" s="1" t="s">
        <v>77</v>
      </c>
      <c r="E77" s="1" t="s">
        <v>77</v>
      </c>
      <c r="F77" s="1" t="s">
        <v>20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20</v>
      </c>
      <c r="L77">
        <v>20220705125317</v>
      </c>
      <c r="M77" s="1" t="s">
        <v>156</v>
      </c>
      <c r="N77" s="1" t="s">
        <v>140</v>
      </c>
      <c r="O77">
        <v>7</v>
      </c>
      <c r="P77" s="3">
        <v>44747</v>
      </c>
      <c r="Q77">
        <v>27</v>
      </c>
    </row>
    <row r="78" spans="1:17" x14ac:dyDescent="0.3">
      <c r="A78" s="1" t="s">
        <v>157</v>
      </c>
      <c r="B78" s="2">
        <v>44748.393055555556</v>
      </c>
      <c r="C78" s="1" t="s">
        <v>37</v>
      </c>
      <c r="D78" s="1" t="s">
        <v>38</v>
      </c>
      <c r="E78" s="1" t="s">
        <v>39</v>
      </c>
      <c r="F78" s="1" t="s">
        <v>20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20</v>
      </c>
      <c r="L78">
        <v>20220706092616</v>
      </c>
      <c r="M78" s="1" t="s">
        <v>158</v>
      </c>
      <c r="N78" s="1" t="s">
        <v>24</v>
      </c>
      <c r="O78">
        <v>7</v>
      </c>
      <c r="P78" s="3">
        <v>44748</v>
      </c>
      <c r="Q78">
        <v>27</v>
      </c>
    </row>
    <row r="79" spans="1:17" x14ac:dyDescent="0.3">
      <c r="A79" s="1" t="s">
        <v>157</v>
      </c>
      <c r="B79" s="2">
        <v>44748.393055555556</v>
      </c>
      <c r="C79" s="1" t="s">
        <v>37</v>
      </c>
      <c r="D79" s="1" t="s">
        <v>44</v>
      </c>
      <c r="E79" s="1" t="s">
        <v>45</v>
      </c>
      <c r="F79" s="1" t="s">
        <v>20</v>
      </c>
      <c r="G79" s="1" t="s">
        <v>20</v>
      </c>
      <c r="H79" s="1" t="s">
        <v>20</v>
      </c>
      <c r="I79" s="1" t="s">
        <v>20</v>
      </c>
      <c r="J79" s="1" t="s">
        <v>20</v>
      </c>
      <c r="K79" s="1" t="s">
        <v>20</v>
      </c>
      <c r="L79">
        <v>20220706092627</v>
      </c>
      <c r="M79" s="1" t="s">
        <v>159</v>
      </c>
      <c r="N79" s="1" t="s">
        <v>24</v>
      </c>
      <c r="O79">
        <v>7</v>
      </c>
      <c r="P79" s="3">
        <v>44748</v>
      </c>
      <c r="Q79">
        <v>27</v>
      </c>
    </row>
    <row r="80" spans="1:17" x14ac:dyDescent="0.3">
      <c r="A80" s="1" t="s">
        <v>157</v>
      </c>
      <c r="B80" s="2">
        <v>44748.393055555556</v>
      </c>
      <c r="C80" s="1" t="s">
        <v>37</v>
      </c>
      <c r="D80" s="1" t="s">
        <v>47</v>
      </c>
      <c r="E80" s="1" t="s">
        <v>51</v>
      </c>
      <c r="F80" s="1" t="s">
        <v>20</v>
      </c>
      <c r="G80" s="1" t="s">
        <v>20</v>
      </c>
      <c r="H80" s="1" t="s">
        <v>20</v>
      </c>
      <c r="I80" s="1" t="s">
        <v>20</v>
      </c>
      <c r="J80" s="1" t="s">
        <v>20</v>
      </c>
      <c r="K80" s="1" t="s">
        <v>20</v>
      </c>
      <c r="L80">
        <v>20220706092636</v>
      </c>
      <c r="M80" s="1" t="s">
        <v>160</v>
      </c>
      <c r="N80" s="1" t="s">
        <v>24</v>
      </c>
      <c r="O80">
        <v>7</v>
      </c>
      <c r="P80" s="3">
        <v>44748</v>
      </c>
      <c r="Q80">
        <v>27</v>
      </c>
    </row>
    <row r="81" spans="1:17" x14ac:dyDescent="0.3">
      <c r="A81" s="1" t="s">
        <v>157</v>
      </c>
      <c r="B81" s="2">
        <v>44748.393055555556</v>
      </c>
      <c r="C81" s="1" t="s">
        <v>37</v>
      </c>
      <c r="D81" s="1" t="s">
        <v>53</v>
      </c>
      <c r="E81" s="1" t="s">
        <v>54</v>
      </c>
      <c r="F81" s="1" t="s">
        <v>20</v>
      </c>
      <c r="G81" s="1" t="s">
        <v>20</v>
      </c>
      <c r="H81" s="1" t="s">
        <v>20</v>
      </c>
      <c r="I81" s="1" t="s">
        <v>20</v>
      </c>
      <c r="J81" s="1" t="s">
        <v>20</v>
      </c>
      <c r="K81" s="1" t="s">
        <v>20</v>
      </c>
      <c r="L81">
        <v>20220706092645</v>
      </c>
      <c r="M81" s="1" t="s">
        <v>161</v>
      </c>
      <c r="N81" s="1" t="s">
        <v>24</v>
      </c>
      <c r="O81">
        <v>7</v>
      </c>
      <c r="P81" s="3">
        <v>44748</v>
      </c>
      <c r="Q81">
        <v>27</v>
      </c>
    </row>
    <row r="82" spans="1:17" x14ac:dyDescent="0.3">
      <c r="A82" s="1" t="s">
        <v>157</v>
      </c>
      <c r="B82" s="2">
        <v>44748.393750000003</v>
      </c>
      <c r="C82" s="1" t="s">
        <v>37</v>
      </c>
      <c r="D82" s="1" t="s">
        <v>60</v>
      </c>
      <c r="E82" s="1" t="s">
        <v>61</v>
      </c>
      <c r="F82" s="1" t="s">
        <v>20</v>
      </c>
      <c r="G82" s="1" t="s">
        <v>20</v>
      </c>
      <c r="H82" s="1" t="s">
        <v>20</v>
      </c>
      <c r="I82" s="1" t="s">
        <v>20</v>
      </c>
      <c r="J82" s="1" t="s">
        <v>20</v>
      </c>
      <c r="K82" s="1" t="s">
        <v>20</v>
      </c>
      <c r="L82">
        <v>20220706092657</v>
      </c>
      <c r="M82" s="1" t="s">
        <v>162</v>
      </c>
      <c r="N82" s="1" t="s">
        <v>24</v>
      </c>
      <c r="O82">
        <v>7</v>
      </c>
      <c r="P82" s="3">
        <v>44748</v>
      </c>
      <c r="Q82">
        <v>27</v>
      </c>
    </row>
    <row r="83" spans="1:17" x14ac:dyDescent="0.3">
      <c r="A83" s="1" t="s">
        <v>163</v>
      </c>
      <c r="B83" s="2">
        <v>44748.395138888889</v>
      </c>
      <c r="C83" s="1" t="s">
        <v>37</v>
      </c>
      <c r="D83" s="1" t="s">
        <v>41</v>
      </c>
      <c r="E83" s="1" t="s">
        <v>42</v>
      </c>
      <c r="F83" s="1" t="s">
        <v>20</v>
      </c>
      <c r="G83" s="1" t="s">
        <v>20</v>
      </c>
      <c r="H83" s="1" t="s">
        <v>20</v>
      </c>
      <c r="I83" s="1" t="s">
        <v>20</v>
      </c>
      <c r="J83" s="1" t="s">
        <v>20</v>
      </c>
      <c r="K83" s="1" t="s">
        <v>20</v>
      </c>
      <c r="L83">
        <v>20220706092919</v>
      </c>
      <c r="M83" s="1" t="s">
        <v>164</v>
      </c>
      <c r="N83" s="1" t="s">
        <v>24</v>
      </c>
      <c r="O83">
        <v>7</v>
      </c>
      <c r="P83" s="3">
        <v>44748</v>
      </c>
      <c r="Q83">
        <v>27</v>
      </c>
    </row>
    <row r="84" spans="1:17" x14ac:dyDescent="0.3">
      <c r="A84" s="1" t="s">
        <v>165</v>
      </c>
      <c r="B84" s="2">
        <v>44748.4</v>
      </c>
      <c r="C84" s="1" t="s">
        <v>37</v>
      </c>
      <c r="D84" s="1" t="s">
        <v>47</v>
      </c>
      <c r="E84" s="1" t="s">
        <v>48</v>
      </c>
      <c r="F84" s="1" t="s">
        <v>20</v>
      </c>
      <c r="G84" s="1" t="s">
        <v>20</v>
      </c>
      <c r="H84" s="1" t="s">
        <v>20</v>
      </c>
      <c r="I84" s="1" t="s">
        <v>20</v>
      </c>
      <c r="J84" s="1" t="s">
        <v>20</v>
      </c>
      <c r="K84" s="1" t="s">
        <v>20</v>
      </c>
      <c r="L84">
        <v>20220706093601</v>
      </c>
      <c r="M84" s="1" t="s">
        <v>166</v>
      </c>
      <c r="N84" s="1" t="s">
        <v>24</v>
      </c>
      <c r="O84">
        <v>7</v>
      </c>
      <c r="P84" s="3">
        <v>44748</v>
      </c>
      <c r="Q84">
        <v>27</v>
      </c>
    </row>
    <row r="85" spans="1:17" x14ac:dyDescent="0.3">
      <c r="A85" s="1" t="s">
        <v>167</v>
      </c>
      <c r="B85" s="2">
        <v>44748.404166666667</v>
      </c>
      <c r="C85" s="1" t="s">
        <v>168</v>
      </c>
      <c r="D85" s="1" t="s">
        <v>77</v>
      </c>
      <c r="E85" s="1" t="s">
        <v>77</v>
      </c>
      <c r="F85" s="1" t="s">
        <v>58</v>
      </c>
      <c r="G85" s="1" t="s">
        <v>169</v>
      </c>
      <c r="H85" s="1" t="s">
        <v>20</v>
      </c>
      <c r="I85" s="1" t="s">
        <v>20</v>
      </c>
      <c r="J85" s="1" t="s">
        <v>20</v>
      </c>
      <c r="K85" s="1" t="s">
        <v>20</v>
      </c>
      <c r="L85">
        <v>20220706094203</v>
      </c>
      <c r="M85" s="1" t="s">
        <v>170</v>
      </c>
      <c r="N85" s="1" t="s">
        <v>24</v>
      </c>
      <c r="O85">
        <v>7</v>
      </c>
      <c r="P85" s="3">
        <v>44748</v>
      </c>
      <c r="Q85">
        <v>27</v>
      </c>
    </row>
    <row r="86" spans="1:17" x14ac:dyDescent="0.3">
      <c r="A86" s="1" t="s">
        <v>167</v>
      </c>
      <c r="B86" s="2">
        <v>44748.404166666667</v>
      </c>
      <c r="C86" s="1" t="s">
        <v>18</v>
      </c>
      <c r="D86" s="1" t="s">
        <v>77</v>
      </c>
      <c r="E86" s="1" t="s">
        <v>77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34</v>
      </c>
      <c r="K86" s="1" t="s">
        <v>171</v>
      </c>
      <c r="L86">
        <v>20220706094224</v>
      </c>
      <c r="M86" s="1" t="s">
        <v>172</v>
      </c>
      <c r="N86" s="1" t="s">
        <v>24</v>
      </c>
      <c r="O86">
        <v>7</v>
      </c>
      <c r="P86" s="3">
        <v>44748</v>
      </c>
      <c r="Q86">
        <v>27</v>
      </c>
    </row>
    <row r="87" spans="1:17" x14ac:dyDescent="0.3">
      <c r="A87" s="1" t="s">
        <v>173</v>
      </c>
      <c r="B87" s="2">
        <v>44748.429861111108</v>
      </c>
      <c r="C87" s="1" t="s">
        <v>37</v>
      </c>
      <c r="D87" s="1" t="s">
        <v>53</v>
      </c>
      <c r="E87" s="1" t="s">
        <v>56</v>
      </c>
      <c r="F87" s="1" t="s">
        <v>20</v>
      </c>
      <c r="G87" s="1" t="s">
        <v>20</v>
      </c>
      <c r="H87" s="1" t="s">
        <v>20</v>
      </c>
      <c r="I87" s="1" t="s">
        <v>20</v>
      </c>
      <c r="J87" s="1" t="s">
        <v>21</v>
      </c>
      <c r="K87" s="1" t="s">
        <v>22</v>
      </c>
      <c r="L87">
        <v>20220706101920</v>
      </c>
      <c r="M87" s="1" t="s">
        <v>174</v>
      </c>
      <c r="N87" s="1" t="s">
        <v>24</v>
      </c>
      <c r="O87">
        <v>7</v>
      </c>
      <c r="P87" s="3">
        <v>44748</v>
      </c>
      <c r="Q87">
        <v>27</v>
      </c>
    </row>
    <row r="88" spans="1:17" x14ac:dyDescent="0.3">
      <c r="A88" s="1" t="s">
        <v>173</v>
      </c>
      <c r="B88" s="2">
        <v>44748.429861111108</v>
      </c>
      <c r="C88" s="1" t="s">
        <v>18</v>
      </c>
      <c r="D88" s="1" t="s">
        <v>77</v>
      </c>
      <c r="E88" s="1" t="s">
        <v>77</v>
      </c>
      <c r="F88" s="1" t="s">
        <v>20</v>
      </c>
      <c r="G88" s="1" t="s">
        <v>20</v>
      </c>
      <c r="H88" s="1" t="s">
        <v>20</v>
      </c>
      <c r="I88" s="1" t="s">
        <v>20</v>
      </c>
      <c r="J88" s="1" t="s">
        <v>30</v>
      </c>
      <c r="K88" s="1" t="s">
        <v>175</v>
      </c>
      <c r="L88">
        <v>20220706101931</v>
      </c>
      <c r="M88" s="1" t="s">
        <v>176</v>
      </c>
      <c r="N88" s="1" t="s">
        <v>24</v>
      </c>
      <c r="O88">
        <v>7</v>
      </c>
      <c r="P88" s="3">
        <v>44748</v>
      </c>
      <c r="Q88">
        <v>27</v>
      </c>
    </row>
    <row r="89" spans="1:17" x14ac:dyDescent="0.3">
      <c r="A89" s="1" t="s">
        <v>177</v>
      </c>
      <c r="B89" s="2">
        <v>44748.469444444447</v>
      </c>
      <c r="C89" s="1" t="s">
        <v>37</v>
      </c>
      <c r="D89" s="1" t="s">
        <v>26</v>
      </c>
      <c r="E89" s="1" t="s">
        <v>27</v>
      </c>
      <c r="F89" s="1" t="s">
        <v>77</v>
      </c>
      <c r="G89" s="1" t="s">
        <v>77</v>
      </c>
      <c r="H89" s="1" t="s">
        <v>77</v>
      </c>
      <c r="I89" s="1" t="s">
        <v>77</v>
      </c>
      <c r="J89" s="1" t="s">
        <v>77</v>
      </c>
      <c r="K89" s="1" t="s">
        <v>77</v>
      </c>
      <c r="L89">
        <v>20220706111239</v>
      </c>
      <c r="M89" s="1" t="s">
        <v>178</v>
      </c>
      <c r="N89" s="1" t="s">
        <v>24</v>
      </c>
      <c r="O89">
        <v>7</v>
      </c>
      <c r="P89" s="3">
        <v>44748</v>
      </c>
      <c r="Q89">
        <v>27</v>
      </c>
    </row>
    <row r="90" spans="1:17" x14ac:dyDescent="0.3">
      <c r="A90" s="1" t="s">
        <v>179</v>
      </c>
      <c r="B90" s="2">
        <v>44749.387499999997</v>
      </c>
      <c r="C90" s="1" t="s">
        <v>37</v>
      </c>
      <c r="D90" s="1" t="s">
        <v>60</v>
      </c>
      <c r="E90" s="1" t="s">
        <v>61</v>
      </c>
      <c r="F90" s="1" t="s">
        <v>77</v>
      </c>
      <c r="G90" s="1" t="s">
        <v>77</v>
      </c>
      <c r="H90" s="1" t="s">
        <v>77</v>
      </c>
      <c r="I90" s="1" t="s">
        <v>77</v>
      </c>
      <c r="J90" s="1" t="s">
        <v>77</v>
      </c>
      <c r="K90" s="1" t="s">
        <v>77</v>
      </c>
      <c r="L90">
        <v>20220707091844</v>
      </c>
      <c r="M90" s="1" t="s">
        <v>180</v>
      </c>
      <c r="N90" s="1" t="s">
        <v>65</v>
      </c>
      <c r="O90">
        <v>7</v>
      </c>
      <c r="P90" s="3">
        <v>44749</v>
      </c>
      <c r="Q90">
        <v>27</v>
      </c>
    </row>
    <row r="91" spans="1:17" x14ac:dyDescent="0.3">
      <c r="A91" s="1" t="s">
        <v>181</v>
      </c>
      <c r="B91" s="2">
        <v>44749.388194444444</v>
      </c>
      <c r="C91" s="1" t="s">
        <v>37</v>
      </c>
      <c r="D91" s="1" t="s">
        <v>19</v>
      </c>
      <c r="E91" s="1" t="s">
        <v>58</v>
      </c>
      <c r="F91" s="1" t="s">
        <v>77</v>
      </c>
      <c r="G91" s="1" t="s">
        <v>77</v>
      </c>
      <c r="H91" s="1" t="s">
        <v>77</v>
      </c>
      <c r="I91" s="1" t="s">
        <v>77</v>
      </c>
      <c r="J91" s="1" t="s">
        <v>77</v>
      </c>
      <c r="K91" s="1" t="s">
        <v>77</v>
      </c>
      <c r="L91">
        <v>20220707091900</v>
      </c>
      <c r="M91" s="1" t="s">
        <v>182</v>
      </c>
      <c r="N91" s="1" t="s">
        <v>65</v>
      </c>
      <c r="O91">
        <v>7</v>
      </c>
      <c r="P91" s="3">
        <v>44749</v>
      </c>
      <c r="Q91">
        <v>27</v>
      </c>
    </row>
    <row r="92" spans="1:17" x14ac:dyDescent="0.3">
      <c r="A92" s="1" t="s">
        <v>181</v>
      </c>
      <c r="B92" s="2">
        <v>44749.388194444444</v>
      </c>
      <c r="C92" s="1" t="s">
        <v>37</v>
      </c>
      <c r="D92" s="1" t="s">
        <v>29</v>
      </c>
      <c r="E92" s="1" t="s">
        <v>30</v>
      </c>
      <c r="F92" s="1" t="s">
        <v>77</v>
      </c>
      <c r="G92" s="1" t="s">
        <v>77</v>
      </c>
      <c r="H92" s="1" t="s">
        <v>77</v>
      </c>
      <c r="I92" s="1" t="s">
        <v>77</v>
      </c>
      <c r="J92" s="1" t="s">
        <v>77</v>
      </c>
      <c r="K92" s="1" t="s">
        <v>77</v>
      </c>
      <c r="L92">
        <v>20220707091916</v>
      </c>
      <c r="M92" s="1" t="s">
        <v>183</v>
      </c>
      <c r="N92" s="1" t="s">
        <v>65</v>
      </c>
      <c r="O92">
        <v>7</v>
      </c>
      <c r="P92" s="3">
        <v>44749</v>
      </c>
      <c r="Q92">
        <v>27</v>
      </c>
    </row>
    <row r="93" spans="1:17" x14ac:dyDescent="0.3">
      <c r="A93" s="1" t="s">
        <v>181</v>
      </c>
      <c r="B93" s="2">
        <v>44749.388194444444</v>
      </c>
      <c r="C93" s="1" t="s">
        <v>37</v>
      </c>
      <c r="D93" s="1" t="s">
        <v>53</v>
      </c>
      <c r="E93" s="1" t="s">
        <v>54</v>
      </c>
      <c r="F93" s="1" t="s">
        <v>77</v>
      </c>
      <c r="G93" s="1" t="s">
        <v>77</v>
      </c>
      <c r="H93" s="1" t="s">
        <v>77</v>
      </c>
      <c r="I93" s="1" t="s">
        <v>77</v>
      </c>
      <c r="J93" s="1" t="s">
        <v>77</v>
      </c>
      <c r="K93" s="1" t="s">
        <v>77</v>
      </c>
      <c r="L93">
        <v>20220707091927</v>
      </c>
      <c r="M93" s="1" t="s">
        <v>184</v>
      </c>
      <c r="N93" s="1" t="s">
        <v>65</v>
      </c>
      <c r="O93">
        <v>7</v>
      </c>
      <c r="P93" s="3">
        <v>44749</v>
      </c>
      <c r="Q93">
        <v>27</v>
      </c>
    </row>
    <row r="94" spans="1:17" x14ac:dyDescent="0.3">
      <c r="A94" s="1" t="s">
        <v>185</v>
      </c>
      <c r="B94" s="2">
        <v>44749.392361111109</v>
      </c>
      <c r="C94" s="1" t="s">
        <v>37</v>
      </c>
      <c r="D94" s="1" t="s">
        <v>44</v>
      </c>
      <c r="E94" s="1" t="s">
        <v>45</v>
      </c>
      <c r="F94" s="1" t="s">
        <v>77</v>
      </c>
      <c r="G94" s="1" t="s">
        <v>77</v>
      </c>
      <c r="H94" s="1" t="s">
        <v>77</v>
      </c>
      <c r="I94" s="1" t="s">
        <v>77</v>
      </c>
      <c r="J94" s="1" t="s">
        <v>77</v>
      </c>
      <c r="K94" s="1" t="s">
        <v>77</v>
      </c>
      <c r="L94">
        <v>20220707092500</v>
      </c>
      <c r="M94" s="1" t="s">
        <v>186</v>
      </c>
      <c r="N94" s="1" t="s">
        <v>65</v>
      </c>
      <c r="O94">
        <v>7</v>
      </c>
      <c r="P94" s="3">
        <v>44749</v>
      </c>
      <c r="Q94">
        <v>27</v>
      </c>
    </row>
    <row r="95" spans="1:17" x14ac:dyDescent="0.3">
      <c r="A95" s="1" t="s">
        <v>185</v>
      </c>
      <c r="B95" s="2">
        <v>44749.392361111109</v>
      </c>
      <c r="C95" s="1" t="s">
        <v>37</v>
      </c>
      <c r="D95" s="1" t="s">
        <v>41</v>
      </c>
      <c r="E95" s="1" t="s">
        <v>42</v>
      </c>
      <c r="F95" s="1" t="s">
        <v>77</v>
      </c>
      <c r="G95" s="1" t="s">
        <v>77</v>
      </c>
      <c r="H95" s="1" t="s">
        <v>77</v>
      </c>
      <c r="I95" s="1" t="s">
        <v>77</v>
      </c>
      <c r="J95" s="1" t="s">
        <v>77</v>
      </c>
      <c r="K95" s="1" t="s">
        <v>77</v>
      </c>
      <c r="L95">
        <v>20220707092510</v>
      </c>
      <c r="M95" s="1" t="s">
        <v>187</v>
      </c>
      <c r="N95" s="1" t="s">
        <v>65</v>
      </c>
      <c r="O95">
        <v>7</v>
      </c>
      <c r="P95" s="3">
        <v>44749</v>
      </c>
      <c r="Q95">
        <v>27</v>
      </c>
    </row>
    <row r="96" spans="1:17" x14ac:dyDescent="0.3">
      <c r="A96" s="1" t="s">
        <v>185</v>
      </c>
      <c r="B96" s="2">
        <v>44749.392361111109</v>
      </c>
      <c r="C96" s="1" t="s">
        <v>37</v>
      </c>
      <c r="D96" s="1" t="s">
        <v>38</v>
      </c>
      <c r="E96" s="1" t="s">
        <v>39</v>
      </c>
      <c r="F96" s="1" t="s">
        <v>77</v>
      </c>
      <c r="G96" s="1" t="s">
        <v>77</v>
      </c>
      <c r="H96" s="1" t="s">
        <v>77</v>
      </c>
      <c r="I96" s="1" t="s">
        <v>77</v>
      </c>
      <c r="J96" s="1" t="s">
        <v>77</v>
      </c>
      <c r="K96" s="1" t="s">
        <v>77</v>
      </c>
      <c r="L96">
        <v>20220707092521</v>
      </c>
      <c r="M96" s="1" t="s">
        <v>188</v>
      </c>
      <c r="N96" s="1" t="s">
        <v>65</v>
      </c>
      <c r="O96">
        <v>7</v>
      </c>
      <c r="P96" s="3">
        <v>44749</v>
      </c>
      <c r="Q96">
        <v>27</v>
      </c>
    </row>
    <row r="97" spans="1:17" x14ac:dyDescent="0.3">
      <c r="A97" s="1" t="s">
        <v>189</v>
      </c>
      <c r="B97" s="2">
        <v>44749.393055555556</v>
      </c>
      <c r="C97" s="1" t="s">
        <v>37</v>
      </c>
      <c r="D97" s="1" t="s">
        <v>47</v>
      </c>
      <c r="E97" s="1" t="s">
        <v>51</v>
      </c>
      <c r="F97" s="1" t="s">
        <v>77</v>
      </c>
      <c r="G97" s="1" t="s">
        <v>77</v>
      </c>
      <c r="H97" s="1" t="s">
        <v>77</v>
      </c>
      <c r="I97" s="1" t="s">
        <v>77</v>
      </c>
      <c r="J97" s="1" t="s">
        <v>77</v>
      </c>
      <c r="K97" s="1" t="s">
        <v>77</v>
      </c>
      <c r="L97">
        <v>20220707092625</v>
      </c>
      <c r="M97" s="1" t="s">
        <v>190</v>
      </c>
      <c r="N97" s="1" t="s">
        <v>65</v>
      </c>
      <c r="O97">
        <v>7</v>
      </c>
      <c r="P97" s="3">
        <v>44749</v>
      </c>
      <c r="Q97">
        <v>27</v>
      </c>
    </row>
    <row r="98" spans="1:17" x14ac:dyDescent="0.3">
      <c r="A98" s="1" t="s">
        <v>191</v>
      </c>
      <c r="B98" s="2">
        <v>44749.400694444441</v>
      </c>
      <c r="C98" s="1" t="s">
        <v>37</v>
      </c>
      <c r="D98" s="1" t="s">
        <v>47</v>
      </c>
      <c r="E98" s="1" t="s">
        <v>48</v>
      </c>
      <c r="F98" s="1" t="s">
        <v>77</v>
      </c>
      <c r="G98" s="1" t="s">
        <v>77</v>
      </c>
      <c r="H98" s="1" t="s">
        <v>77</v>
      </c>
      <c r="I98" s="1" t="s">
        <v>77</v>
      </c>
      <c r="J98" s="1" t="s">
        <v>77</v>
      </c>
      <c r="K98" s="1" t="s">
        <v>77</v>
      </c>
      <c r="L98">
        <v>20220707093658</v>
      </c>
      <c r="M98" s="1" t="s">
        <v>192</v>
      </c>
      <c r="N98" s="1" t="s">
        <v>65</v>
      </c>
      <c r="O98">
        <v>7</v>
      </c>
      <c r="P98" s="3">
        <v>44749</v>
      </c>
      <c r="Q98">
        <v>27</v>
      </c>
    </row>
    <row r="99" spans="1:17" x14ac:dyDescent="0.3">
      <c r="A99" s="1" t="s">
        <v>193</v>
      </c>
      <c r="B99" s="2">
        <v>44749.475694444445</v>
      </c>
      <c r="C99" s="1" t="s">
        <v>18</v>
      </c>
      <c r="D99" s="1" t="s">
        <v>29</v>
      </c>
      <c r="E99" s="1" t="s">
        <v>77</v>
      </c>
      <c r="F99" s="1" t="s">
        <v>77</v>
      </c>
      <c r="G99" s="1" t="s">
        <v>77</v>
      </c>
      <c r="H99" s="1" t="s">
        <v>77</v>
      </c>
      <c r="I99" s="1" t="s">
        <v>77</v>
      </c>
      <c r="J99" s="1" t="s">
        <v>34</v>
      </c>
      <c r="K99" s="1" t="s">
        <v>171</v>
      </c>
      <c r="L99">
        <v>20220707112510</v>
      </c>
      <c r="M99" s="1" t="s">
        <v>194</v>
      </c>
      <c r="N99" s="1" t="s">
        <v>65</v>
      </c>
      <c r="O99">
        <v>7</v>
      </c>
      <c r="P99" s="3">
        <v>44749</v>
      </c>
      <c r="Q99">
        <v>27</v>
      </c>
    </row>
    <row r="100" spans="1:17" x14ac:dyDescent="0.3">
      <c r="A100" s="1" t="s">
        <v>193</v>
      </c>
      <c r="B100" s="2">
        <v>44749.475694444445</v>
      </c>
      <c r="C100" s="1" t="s">
        <v>18</v>
      </c>
      <c r="D100" s="1" t="s">
        <v>195</v>
      </c>
      <c r="E100" s="1" t="s">
        <v>77</v>
      </c>
      <c r="F100" s="1" t="s">
        <v>77</v>
      </c>
      <c r="G100" s="1" t="s">
        <v>77</v>
      </c>
      <c r="H100" s="1" t="s">
        <v>77</v>
      </c>
      <c r="I100" s="1" t="s">
        <v>77</v>
      </c>
      <c r="J100" s="1" t="s">
        <v>21</v>
      </c>
      <c r="K100" s="1" t="s">
        <v>22</v>
      </c>
      <c r="L100">
        <v>20220707112522</v>
      </c>
      <c r="M100" s="1" t="s">
        <v>196</v>
      </c>
      <c r="N100" s="1" t="s">
        <v>65</v>
      </c>
      <c r="O100">
        <v>7</v>
      </c>
      <c r="P100" s="3">
        <v>44749</v>
      </c>
      <c r="Q100">
        <v>27</v>
      </c>
    </row>
    <row r="101" spans="1:17" x14ac:dyDescent="0.3">
      <c r="A101" s="1" t="s">
        <v>193</v>
      </c>
      <c r="B101" s="2">
        <v>44749.476388888892</v>
      </c>
      <c r="C101" s="1" t="s">
        <v>18</v>
      </c>
      <c r="D101" s="1" t="s">
        <v>53</v>
      </c>
      <c r="E101" s="1" t="s">
        <v>77</v>
      </c>
      <c r="F101" s="1" t="s">
        <v>77</v>
      </c>
      <c r="G101" s="1" t="s">
        <v>77</v>
      </c>
      <c r="H101" s="1" t="s">
        <v>77</v>
      </c>
      <c r="I101" s="1" t="s">
        <v>77</v>
      </c>
      <c r="J101" s="1" t="s">
        <v>56</v>
      </c>
      <c r="K101" s="1" t="s">
        <v>197</v>
      </c>
      <c r="L101">
        <v>20220707112538</v>
      </c>
      <c r="M101" s="1" t="s">
        <v>198</v>
      </c>
      <c r="N101" s="1" t="s">
        <v>65</v>
      </c>
      <c r="O101">
        <v>7</v>
      </c>
      <c r="P101" s="3">
        <v>44749</v>
      </c>
      <c r="Q101">
        <v>27</v>
      </c>
    </row>
    <row r="102" spans="1:17" x14ac:dyDescent="0.3">
      <c r="A102" s="1" t="s">
        <v>199</v>
      </c>
      <c r="B102" s="2">
        <v>44749.476388888892</v>
      </c>
      <c r="C102" s="1" t="s">
        <v>18</v>
      </c>
      <c r="D102" s="1" t="s">
        <v>26</v>
      </c>
      <c r="E102" s="1" t="s">
        <v>20</v>
      </c>
      <c r="F102" s="1" t="s">
        <v>77</v>
      </c>
      <c r="G102" s="1" t="s">
        <v>77</v>
      </c>
      <c r="H102" s="1" t="s">
        <v>77</v>
      </c>
      <c r="I102" s="1" t="s">
        <v>77</v>
      </c>
      <c r="J102" s="1" t="s">
        <v>27</v>
      </c>
      <c r="K102" s="1" t="s">
        <v>22</v>
      </c>
      <c r="L102">
        <v>20220707112603</v>
      </c>
      <c r="M102" s="1" t="s">
        <v>200</v>
      </c>
      <c r="N102" s="1" t="s">
        <v>65</v>
      </c>
      <c r="O102">
        <v>7</v>
      </c>
      <c r="P102" s="3">
        <v>44749</v>
      </c>
      <c r="Q102">
        <v>27</v>
      </c>
    </row>
    <row r="103" spans="1:17" x14ac:dyDescent="0.3">
      <c r="A103" s="1" t="s">
        <v>201</v>
      </c>
      <c r="B103" s="2">
        <v>44750.426388888889</v>
      </c>
      <c r="C103" s="1" t="s">
        <v>37</v>
      </c>
      <c r="D103" s="1" t="s">
        <v>60</v>
      </c>
      <c r="E103" s="1" t="s">
        <v>61</v>
      </c>
      <c r="F103" s="1" t="s">
        <v>77</v>
      </c>
      <c r="G103" s="1" t="s">
        <v>77</v>
      </c>
      <c r="H103" s="1" t="s">
        <v>77</v>
      </c>
      <c r="I103" s="1" t="s">
        <v>77</v>
      </c>
      <c r="J103" s="1" t="s">
        <v>77</v>
      </c>
      <c r="K103" s="1" t="s">
        <v>77</v>
      </c>
      <c r="L103">
        <v>20220708101431</v>
      </c>
      <c r="M103" s="1" t="s">
        <v>202</v>
      </c>
      <c r="N103" s="1" t="s">
        <v>84</v>
      </c>
      <c r="O103">
        <v>7</v>
      </c>
      <c r="P103" s="3">
        <v>44750</v>
      </c>
      <c r="Q103">
        <v>27</v>
      </c>
    </row>
    <row r="104" spans="1:17" x14ac:dyDescent="0.3">
      <c r="A104" s="1" t="s">
        <v>201</v>
      </c>
      <c r="B104" s="2">
        <v>44750.427083333336</v>
      </c>
      <c r="C104" s="1" t="s">
        <v>37</v>
      </c>
      <c r="D104" s="1" t="s">
        <v>19</v>
      </c>
      <c r="E104" s="1" t="s">
        <v>58</v>
      </c>
      <c r="F104" s="1" t="s">
        <v>77</v>
      </c>
      <c r="G104" s="1" t="s">
        <v>77</v>
      </c>
      <c r="H104" s="1" t="s">
        <v>77</v>
      </c>
      <c r="I104" s="1" t="s">
        <v>77</v>
      </c>
      <c r="J104" s="1" t="s">
        <v>77</v>
      </c>
      <c r="K104" s="1" t="s">
        <v>77</v>
      </c>
      <c r="L104">
        <v>20220708101447</v>
      </c>
      <c r="M104" s="1" t="s">
        <v>203</v>
      </c>
      <c r="N104" s="1" t="s">
        <v>84</v>
      </c>
      <c r="O104">
        <v>7</v>
      </c>
      <c r="P104" s="3">
        <v>44750</v>
      </c>
      <c r="Q104">
        <v>27</v>
      </c>
    </row>
    <row r="105" spans="1:17" x14ac:dyDescent="0.3">
      <c r="A105" s="1" t="s">
        <v>204</v>
      </c>
      <c r="B105" s="2">
        <v>44750.427083333336</v>
      </c>
      <c r="C105" s="1" t="s">
        <v>37</v>
      </c>
      <c r="D105" s="1" t="s">
        <v>47</v>
      </c>
      <c r="E105" s="1" t="s">
        <v>51</v>
      </c>
      <c r="F105" s="1" t="s">
        <v>77</v>
      </c>
      <c r="G105" s="1" t="s">
        <v>77</v>
      </c>
      <c r="H105" s="1" t="s">
        <v>77</v>
      </c>
      <c r="I105" s="1" t="s">
        <v>77</v>
      </c>
      <c r="J105" s="1" t="s">
        <v>77</v>
      </c>
      <c r="K105" s="1" t="s">
        <v>77</v>
      </c>
      <c r="L105">
        <v>20220708101503</v>
      </c>
      <c r="M105" s="1" t="s">
        <v>205</v>
      </c>
      <c r="N105" s="1" t="s">
        <v>84</v>
      </c>
      <c r="O105">
        <v>7</v>
      </c>
      <c r="P105" s="3">
        <v>44750</v>
      </c>
      <c r="Q105">
        <v>27</v>
      </c>
    </row>
    <row r="106" spans="1:17" x14ac:dyDescent="0.3">
      <c r="A106" s="1" t="s">
        <v>204</v>
      </c>
      <c r="B106" s="2">
        <v>44750.427083333336</v>
      </c>
      <c r="C106" s="1" t="s">
        <v>37</v>
      </c>
      <c r="D106" s="1" t="s">
        <v>47</v>
      </c>
      <c r="E106" s="1" t="s">
        <v>48</v>
      </c>
      <c r="F106" s="1" t="s">
        <v>77</v>
      </c>
      <c r="G106" s="1" t="s">
        <v>77</v>
      </c>
      <c r="H106" s="1" t="s">
        <v>77</v>
      </c>
      <c r="I106" s="1" t="s">
        <v>77</v>
      </c>
      <c r="J106" s="1" t="s">
        <v>77</v>
      </c>
      <c r="K106" s="1" t="s">
        <v>77</v>
      </c>
      <c r="L106">
        <v>20220708101513</v>
      </c>
      <c r="M106" s="1" t="s">
        <v>206</v>
      </c>
      <c r="N106" s="1" t="s">
        <v>84</v>
      </c>
      <c r="O106">
        <v>7</v>
      </c>
      <c r="P106" s="3">
        <v>44750</v>
      </c>
      <c r="Q106">
        <v>27</v>
      </c>
    </row>
    <row r="107" spans="1:17" x14ac:dyDescent="0.3">
      <c r="A107" s="1" t="s">
        <v>204</v>
      </c>
      <c r="B107" s="2">
        <v>44750.427083333336</v>
      </c>
      <c r="C107" s="1" t="s">
        <v>37</v>
      </c>
      <c r="D107" s="1" t="s">
        <v>44</v>
      </c>
      <c r="E107" s="1" t="s">
        <v>45</v>
      </c>
      <c r="F107" s="1" t="s">
        <v>77</v>
      </c>
      <c r="G107" s="1" t="s">
        <v>77</v>
      </c>
      <c r="H107" s="1" t="s">
        <v>77</v>
      </c>
      <c r="I107" s="1" t="s">
        <v>77</v>
      </c>
      <c r="J107" s="1" t="s">
        <v>77</v>
      </c>
      <c r="K107" s="1" t="s">
        <v>77</v>
      </c>
      <c r="L107">
        <v>20220708101522</v>
      </c>
      <c r="M107" s="1" t="s">
        <v>207</v>
      </c>
      <c r="N107" s="1" t="s">
        <v>84</v>
      </c>
      <c r="O107">
        <v>7</v>
      </c>
      <c r="P107" s="3">
        <v>44750</v>
      </c>
      <c r="Q107">
        <v>27</v>
      </c>
    </row>
    <row r="108" spans="1:17" x14ac:dyDescent="0.3">
      <c r="A108" s="1" t="s">
        <v>204</v>
      </c>
      <c r="B108" s="2">
        <v>44750.427083333336</v>
      </c>
      <c r="C108" s="1" t="s">
        <v>37</v>
      </c>
      <c r="D108" s="1" t="s">
        <v>41</v>
      </c>
      <c r="E108" s="1" t="s">
        <v>42</v>
      </c>
      <c r="F108" s="1" t="s">
        <v>77</v>
      </c>
      <c r="G108" s="1" t="s">
        <v>77</v>
      </c>
      <c r="H108" s="1" t="s">
        <v>77</v>
      </c>
      <c r="I108" s="1" t="s">
        <v>77</v>
      </c>
      <c r="J108" s="1" t="s">
        <v>77</v>
      </c>
      <c r="K108" s="1" t="s">
        <v>77</v>
      </c>
      <c r="L108">
        <v>20220708101531</v>
      </c>
      <c r="M108" s="1" t="s">
        <v>208</v>
      </c>
      <c r="N108" s="1" t="s">
        <v>84</v>
      </c>
      <c r="O108">
        <v>7</v>
      </c>
      <c r="P108" s="3">
        <v>44750</v>
      </c>
      <c r="Q108">
        <v>27</v>
      </c>
    </row>
    <row r="109" spans="1:17" x14ac:dyDescent="0.3">
      <c r="A109" s="1" t="s">
        <v>204</v>
      </c>
      <c r="B109" s="2">
        <v>44750.427083333336</v>
      </c>
      <c r="C109" s="1" t="s">
        <v>37</v>
      </c>
      <c r="D109" s="1" t="s">
        <v>38</v>
      </c>
      <c r="E109" s="1" t="s">
        <v>39</v>
      </c>
      <c r="F109" s="1" t="s">
        <v>77</v>
      </c>
      <c r="G109" s="1" t="s">
        <v>77</v>
      </c>
      <c r="H109" s="1" t="s">
        <v>77</v>
      </c>
      <c r="I109" s="1" t="s">
        <v>77</v>
      </c>
      <c r="J109" s="1" t="s">
        <v>77</v>
      </c>
      <c r="K109" s="1" t="s">
        <v>77</v>
      </c>
      <c r="L109">
        <v>20220708101539</v>
      </c>
      <c r="M109" s="1" t="s">
        <v>209</v>
      </c>
      <c r="N109" s="1" t="s">
        <v>84</v>
      </c>
      <c r="O109">
        <v>7</v>
      </c>
      <c r="P109" s="3">
        <v>44750</v>
      </c>
      <c r="Q109">
        <v>27</v>
      </c>
    </row>
    <row r="110" spans="1:17" x14ac:dyDescent="0.3">
      <c r="A110" s="1" t="s">
        <v>204</v>
      </c>
      <c r="B110" s="2">
        <v>44750.428472222222</v>
      </c>
      <c r="C110" s="1" t="s">
        <v>168</v>
      </c>
      <c r="D110" s="1" t="s">
        <v>53</v>
      </c>
      <c r="E110" s="1" t="s">
        <v>77</v>
      </c>
      <c r="F110" s="1" t="s">
        <v>54</v>
      </c>
      <c r="G110" s="1" t="s">
        <v>210</v>
      </c>
      <c r="H110" s="1" t="s">
        <v>77</v>
      </c>
      <c r="I110" s="1" t="s">
        <v>77</v>
      </c>
      <c r="J110" s="1" t="s">
        <v>77</v>
      </c>
      <c r="K110" s="1" t="s">
        <v>77</v>
      </c>
      <c r="L110">
        <v>20220708101633</v>
      </c>
      <c r="M110" s="1" t="s">
        <v>211</v>
      </c>
      <c r="N110" s="1" t="s">
        <v>84</v>
      </c>
      <c r="O110">
        <v>7</v>
      </c>
      <c r="P110" s="3">
        <v>44750</v>
      </c>
      <c r="Q110">
        <v>27</v>
      </c>
    </row>
    <row r="111" spans="1:17" x14ac:dyDescent="0.3">
      <c r="A111" s="1" t="s">
        <v>212</v>
      </c>
      <c r="B111" s="2">
        <v>44750.427777777775</v>
      </c>
      <c r="C111" s="1" t="s">
        <v>18</v>
      </c>
      <c r="D111" s="1" t="s">
        <v>53</v>
      </c>
      <c r="E111" s="1" t="s">
        <v>77</v>
      </c>
      <c r="F111" s="1" t="s">
        <v>77</v>
      </c>
      <c r="G111" s="1" t="s">
        <v>77</v>
      </c>
      <c r="H111" s="1" t="s">
        <v>77</v>
      </c>
      <c r="I111" s="1" t="s">
        <v>77</v>
      </c>
      <c r="J111" s="1" t="s">
        <v>56</v>
      </c>
      <c r="K111" s="1" t="s">
        <v>197</v>
      </c>
      <c r="L111">
        <v>20220708101602</v>
      </c>
      <c r="M111" s="1" t="s">
        <v>213</v>
      </c>
      <c r="N111" s="1" t="s">
        <v>84</v>
      </c>
      <c r="O111">
        <v>7</v>
      </c>
      <c r="P111" s="3">
        <v>44750</v>
      </c>
      <c r="Q111">
        <v>27</v>
      </c>
    </row>
    <row r="112" spans="1:17" x14ac:dyDescent="0.3">
      <c r="A112" s="1" t="s">
        <v>214</v>
      </c>
      <c r="B112" s="2">
        <v>44750.428472222222</v>
      </c>
      <c r="C112" s="1" t="s">
        <v>18</v>
      </c>
      <c r="D112" s="1" t="s">
        <v>29</v>
      </c>
      <c r="E112" s="1" t="s">
        <v>77</v>
      </c>
      <c r="F112" s="1" t="s">
        <v>77</v>
      </c>
      <c r="G112" s="1" t="s">
        <v>77</v>
      </c>
      <c r="H112" s="1" t="s">
        <v>77</v>
      </c>
      <c r="I112" s="1" t="s">
        <v>77</v>
      </c>
      <c r="J112" s="1" t="s">
        <v>34</v>
      </c>
      <c r="K112" s="1" t="s">
        <v>171</v>
      </c>
      <c r="L112">
        <v>20220708101705</v>
      </c>
      <c r="M112" s="1" t="s">
        <v>215</v>
      </c>
      <c r="N112" s="1" t="s">
        <v>84</v>
      </c>
      <c r="O112">
        <v>7</v>
      </c>
      <c r="P112" s="3">
        <v>44750</v>
      </c>
      <c r="Q112">
        <v>27</v>
      </c>
    </row>
    <row r="113" spans="1:17" x14ac:dyDescent="0.3">
      <c r="A113" s="1" t="s">
        <v>214</v>
      </c>
      <c r="B113" s="2">
        <v>44750.428472222222</v>
      </c>
      <c r="C113" s="1" t="s">
        <v>18</v>
      </c>
      <c r="D113" s="1" t="s">
        <v>29</v>
      </c>
      <c r="E113" s="1" t="s">
        <v>77</v>
      </c>
      <c r="F113" s="1" t="s">
        <v>77</v>
      </c>
      <c r="G113" s="1" t="s">
        <v>77</v>
      </c>
      <c r="H113" s="1" t="s">
        <v>77</v>
      </c>
      <c r="I113" s="1" t="s">
        <v>77</v>
      </c>
      <c r="J113" s="1" t="s">
        <v>30</v>
      </c>
      <c r="K113" s="1" t="s">
        <v>31</v>
      </c>
      <c r="L113">
        <v>20220708101719</v>
      </c>
      <c r="M113" s="1" t="s">
        <v>216</v>
      </c>
      <c r="N113" s="1" t="s">
        <v>84</v>
      </c>
      <c r="O113">
        <v>7</v>
      </c>
      <c r="P113" s="3">
        <v>44750</v>
      </c>
      <c r="Q113">
        <v>27</v>
      </c>
    </row>
    <row r="114" spans="1:17" x14ac:dyDescent="0.3">
      <c r="A114" s="1" t="s">
        <v>214</v>
      </c>
      <c r="B114" s="2">
        <v>44750.428472222222</v>
      </c>
      <c r="C114" s="1" t="s">
        <v>18</v>
      </c>
      <c r="D114" s="1" t="s">
        <v>195</v>
      </c>
      <c r="E114" s="1" t="s">
        <v>77</v>
      </c>
      <c r="F114" s="1" t="s">
        <v>77</v>
      </c>
      <c r="G114" s="1" t="s">
        <v>77</v>
      </c>
      <c r="H114" s="1" t="s">
        <v>77</v>
      </c>
      <c r="I114" s="1" t="s">
        <v>77</v>
      </c>
      <c r="J114" s="1" t="s">
        <v>21</v>
      </c>
      <c r="K114" s="1" t="s">
        <v>22</v>
      </c>
      <c r="L114">
        <v>20220708101728</v>
      </c>
      <c r="M114" s="1" t="s">
        <v>217</v>
      </c>
      <c r="N114" s="1" t="s">
        <v>84</v>
      </c>
      <c r="O114">
        <v>7</v>
      </c>
      <c r="P114" s="3">
        <v>44750</v>
      </c>
      <c r="Q114">
        <v>27</v>
      </c>
    </row>
    <row r="115" spans="1:17" x14ac:dyDescent="0.3">
      <c r="A115" s="1" t="s">
        <v>214</v>
      </c>
      <c r="B115" s="2">
        <v>44750.428472222222</v>
      </c>
      <c r="C115" s="1" t="s">
        <v>18</v>
      </c>
      <c r="D115" s="1" t="s">
        <v>26</v>
      </c>
      <c r="E115" s="1" t="s">
        <v>77</v>
      </c>
      <c r="F115" s="1" t="s">
        <v>77</v>
      </c>
      <c r="G115" s="1" t="s">
        <v>77</v>
      </c>
      <c r="H115" s="1" t="s">
        <v>77</v>
      </c>
      <c r="I115" s="1" t="s">
        <v>77</v>
      </c>
      <c r="J115" s="1" t="s">
        <v>27</v>
      </c>
      <c r="K115" s="1" t="s">
        <v>22</v>
      </c>
      <c r="L115">
        <v>20220708101745</v>
      </c>
      <c r="M115" s="1" t="s">
        <v>218</v>
      </c>
      <c r="N115" s="1" t="s">
        <v>84</v>
      </c>
      <c r="O115">
        <v>7</v>
      </c>
      <c r="P115" s="3">
        <v>44750</v>
      </c>
      <c r="Q115">
        <v>27</v>
      </c>
    </row>
    <row r="116" spans="1:17" x14ac:dyDescent="0.3">
      <c r="A116" s="1" t="s">
        <v>219</v>
      </c>
      <c r="B116" s="2">
        <v>44754.450694444444</v>
      </c>
      <c r="C116" s="1" t="s">
        <v>37</v>
      </c>
      <c r="D116" s="1" t="s">
        <v>38</v>
      </c>
      <c r="E116" s="1" t="s">
        <v>39</v>
      </c>
      <c r="F116" s="1" t="s">
        <v>77</v>
      </c>
      <c r="G116" s="1" t="s">
        <v>77</v>
      </c>
      <c r="H116" s="1" t="s">
        <v>77</v>
      </c>
      <c r="I116" s="1" t="s">
        <v>77</v>
      </c>
      <c r="J116" s="1" t="s">
        <v>77</v>
      </c>
      <c r="K116" s="1" t="s">
        <v>77</v>
      </c>
      <c r="L116">
        <v>20220712094920</v>
      </c>
      <c r="M116" s="1" t="s">
        <v>220</v>
      </c>
      <c r="N116" s="1" t="s">
        <v>140</v>
      </c>
      <c r="O116">
        <v>7</v>
      </c>
      <c r="P116" s="3">
        <v>44754</v>
      </c>
      <c r="Q116">
        <v>28</v>
      </c>
    </row>
    <row r="117" spans="1:17" x14ac:dyDescent="0.3">
      <c r="A117" s="1" t="s">
        <v>219</v>
      </c>
      <c r="B117" s="2">
        <v>44754.450694444444</v>
      </c>
      <c r="C117" s="1" t="s">
        <v>18</v>
      </c>
      <c r="D117" s="1" t="s">
        <v>60</v>
      </c>
      <c r="E117" s="1" t="s">
        <v>20</v>
      </c>
      <c r="F117" s="1" t="s">
        <v>20</v>
      </c>
      <c r="G117" s="1" t="s">
        <v>20</v>
      </c>
      <c r="H117" s="1" t="s">
        <v>20</v>
      </c>
      <c r="I117" s="1" t="s">
        <v>20</v>
      </c>
      <c r="J117" s="1" t="s">
        <v>61</v>
      </c>
      <c r="K117" s="1" t="s">
        <v>221</v>
      </c>
      <c r="L117">
        <v>20220712094909</v>
      </c>
      <c r="M117" s="1" t="s">
        <v>222</v>
      </c>
      <c r="N117" s="1" t="s">
        <v>140</v>
      </c>
      <c r="O117">
        <v>7</v>
      </c>
      <c r="P117" s="3">
        <v>44754</v>
      </c>
      <c r="Q117">
        <v>28</v>
      </c>
    </row>
    <row r="118" spans="1:17" x14ac:dyDescent="0.3">
      <c r="A118" s="1" t="s">
        <v>219</v>
      </c>
      <c r="B118" s="2">
        <v>44754.450694444444</v>
      </c>
      <c r="C118" s="1" t="s">
        <v>18</v>
      </c>
      <c r="D118" s="1" t="s">
        <v>47</v>
      </c>
      <c r="E118" s="1" t="s">
        <v>20</v>
      </c>
      <c r="F118" s="1" t="s">
        <v>20</v>
      </c>
      <c r="G118" s="1" t="s">
        <v>20</v>
      </c>
      <c r="H118" s="1" t="s">
        <v>20</v>
      </c>
      <c r="I118" s="1" t="s">
        <v>20</v>
      </c>
      <c r="J118" s="1" t="s">
        <v>51</v>
      </c>
      <c r="K118" s="1" t="s">
        <v>221</v>
      </c>
      <c r="L118">
        <v>20220712094910</v>
      </c>
      <c r="M118" s="1" t="s">
        <v>223</v>
      </c>
      <c r="N118" s="1" t="s">
        <v>140</v>
      </c>
      <c r="O118">
        <v>7</v>
      </c>
      <c r="P118" s="3">
        <v>44754</v>
      </c>
      <c r="Q118">
        <v>28</v>
      </c>
    </row>
    <row r="119" spans="1:17" x14ac:dyDescent="0.3">
      <c r="A119" s="1" t="s">
        <v>219</v>
      </c>
      <c r="B119" s="2">
        <v>44754.450694444444</v>
      </c>
      <c r="C119" s="1" t="s">
        <v>18</v>
      </c>
      <c r="D119" s="1" t="s">
        <v>53</v>
      </c>
      <c r="E119" s="1" t="s">
        <v>20</v>
      </c>
      <c r="F119" s="1" t="s">
        <v>20</v>
      </c>
      <c r="G119" s="1" t="s">
        <v>20</v>
      </c>
      <c r="H119" s="1" t="s">
        <v>20</v>
      </c>
      <c r="I119" s="1" t="s">
        <v>20</v>
      </c>
      <c r="J119" s="1" t="s">
        <v>54</v>
      </c>
      <c r="K119" s="1" t="s">
        <v>221</v>
      </c>
      <c r="L119">
        <v>20220712094911</v>
      </c>
      <c r="M119" s="1" t="s">
        <v>224</v>
      </c>
      <c r="N119" s="1" t="s">
        <v>140</v>
      </c>
      <c r="O119">
        <v>7</v>
      </c>
      <c r="P119" s="3">
        <v>44754</v>
      </c>
      <c r="Q119">
        <v>28</v>
      </c>
    </row>
    <row r="120" spans="1:17" x14ac:dyDescent="0.3">
      <c r="A120" s="1" t="s">
        <v>219</v>
      </c>
      <c r="B120" s="2">
        <v>44754.450694444444</v>
      </c>
      <c r="C120" s="1" t="s">
        <v>18</v>
      </c>
      <c r="D120" s="1" t="s">
        <v>44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20</v>
      </c>
      <c r="J120" s="1" t="s">
        <v>45</v>
      </c>
      <c r="K120" s="1" t="s">
        <v>221</v>
      </c>
      <c r="L120">
        <v>20220712094912</v>
      </c>
      <c r="M120" s="1" t="s">
        <v>225</v>
      </c>
      <c r="N120" s="1" t="s">
        <v>140</v>
      </c>
      <c r="O120">
        <v>7</v>
      </c>
      <c r="P120" s="3">
        <v>44754</v>
      </c>
      <c r="Q120">
        <v>28</v>
      </c>
    </row>
    <row r="121" spans="1:17" x14ac:dyDescent="0.3">
      <c r="A121" s="1" t="s">
        <v>219</v>
      </c>
      <c r="B121" s="2">
        <v>44754.450694444444</v>
      </c>
      <c r="C121" s="1" t="s">
        <v>18</v>
      </c>
      <c r="D121" s="1" t="s">
        <v>47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20</v>
      </c>
      <c r="J121" s="1" t="s">
        <v>48</v>
      </c>
      <c r="K121" s="1" t="s">
        <v>221</v>
      </c>
      <c r="L121">
        <v>20220712094913</v>
      </c>
      <c r="M121" s="1" t="s">
        <v>226</v>
      </c>
      <c r="N121" s="1" t="s">
        <v>140</v>
      </c>
      <c r="O121">
        <v>7</v>
      </c>
      <c r="P121" s="3">
        <v>44754</v>
      </c>
      <c r="Q121">
        <v>28</v>
      </c>
    </row>
    <row r="122" spans="1:17" x14ac:dyDescent="0.3">
      <c r="A122" s="1" t="s">
        <v>219</v>
      </c>
      <c r="B122" s="2">
        <v>44754.450694444444</v>
      </c>
      <c r="C122" s="1" t="s">
        <v>18</v>
      </c>
      <c r="D122" s="1" t="s">
        <v>19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20</v>
      </c>
      <c r="J122" s="1" t="s">
        <v>58</v>
      </c>
      <c r="K122" s="1" t="s">
        <v>221</v>
      </c>
      <c r="L122">
        <v>20220712094914</v>
      </c>
      <c r="M122" s="1" t="s">
        <v>227</v>
      </c>
      <c r="N122" s="1" t="s">
        <v>140</v>
      </c>
      <c r="O122">
        <v>7</v>
      </c>
      <c r="P122" s="3">
        <v>44754</v>
      </c>
      <c r="Q122">
        <v>28</v>
      </c>
    </row>
    <row r="123" spans="1:17" x14ac:dyDescent="0.3">
      <c r="A123" s="1" t="s">
        <v>219</v>
      </c>
      <c r="B123" s="2">
        <v>44754.450694444444</v>
      </c>
      <c r="C123" s="1" t="s">
        <v>18</v>
      </c>
      <c r="D123" s="1" t="s">
        <v>26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20</v>
      </c>
      <c r="J123" s="1" t="s">
        <v>27</v>
      </c>
      <c r="K123" s="1" t="s">
        <v>228</v>
      </c>
      <c r="L123">
        <v>20220712094915</v>
      </c>
      <c r="M123" s="1" t="s">
        <v>229</v>
      </c>
      <c r="N123" s="1" t="s">
        <v>140</v>
      </c>
      <c r="O123">
        <v>7</v>
      </c>
      <c r="P123" s="3">
        <v>44754</v>
      </c>
      <c r="Q123">
        <v>28</v>
      </c>
    </row>
    <row r="124" spans="1:17" x14ac:dyDescent="0.3">
      <c r="A124" s="1" t="s">
        <v>219</v>
      </c>
      <c r="B124" s="2">
        <v>44754.450694444444</v>
      </c>
      <c r="C124" s="1" t="s">
        <v>18</v>
      </c>
      <c r="D124" s="1" t="s">
        <v>53</v>
      </c>
      <c r="E124" s="1" t="s">
        <v>20</v>
      </c>
      <c r="F124" s="1" t="s">
        <v>20</v>
      </c>
      <c r="G124" s="1" t="s">
        <v>20</v>
      </c>
      <c r="H124" s="1" t="s">
        <v>20</v>
      </c>
      <c r="I124" s="1" t="s">
        <v>20</v>
      </c>
      <c r="J124" s="1" t="s">
        <v>56</v>
      </c>
      <c r="K124" s="1" t="s">
        <v>228</v>
      </c>
      <c r="L124">
        <v>20220712094916</v>
      </c>
      <c r="M124" s="1" t="s">
        <v>230</v>
      </c>
      <c r="N124" s="1" t="s">
        <v>140</v>
      </c>
      <c r="O124">
        <v>7</v>
      </c>
      <c r="P124" s="3">
        <v>44754</v>
      </c>
      <c r="Q124">
        <v>28</v>
      </c>
    </row>
    <row r="125" spans="1:17" x14ac:dyDescent="0.3">
      <c r="A125" s="1" t="s">
        <v>219</v>
      </c>
      <c r="B125" s="2">
        <v>44754.450694444444</v>
      </c>
      <c r="C125" s="1" t="s">
        <v>18</v>
      </c>
      <c r="D125" s="1" t="s">
        <v>29</v>
      </c>
      <c r="E125" s="1" t="s">
        <v>20</v>
      </c>
      <c r="F125" s="1" t="s">
        <v>20</v>
      </c>
      <c r="G125" s="1" t="s">
        <v>20</v>
      </c>
      <c r="H125" s="1" t="s">
        <v>20</v>
      </c>
      <c r="I125" s="1" t="s">
        <v>20</v>
      </c>
      <c r="J125" s="1" t="s">
        <v>30</v>
      </c>
      <c r="K125" s="1" t="s">
        <v>228</v>
      </c>
      <c r="L125">
        <v>20220712094917</v>
      </c>
      <c r="M125" s="1" t="s">
        <v>231</v>
      </c>
      <c r="N125" s="1" t="s">
        <v>140</v>
      </c>
      <c r="O125">
        <v>7</v>
      </c>
      <c r="P125" s="3">
        <v>44754</v>
      </c>
      <c r="Q125">
        <v>28</v>
      </c>
    </row>
    <row r="126" spans="1:17" x14ac:dyDescent="0.3">
      <c r="A126" s="1" t="s">
        <v>219</v>
      </c>
      <c r="B126" s="2">
        <v>44754.450694444444</v>
      </c>
      <c r="C126" s="1" t="s">
        <v>18</v>
      </c>
      <c r="D126" s="1" t="s">
        <v>29</v>
      </c>
      <c r="E126" s="1" t="s">
        <v>20</v>
      </c>
      <c r="F126" s="1" t="s">
        <v>20</v>
      </c>
      <c r="G126" s="1" t="s">
        <v>20</v>
      </c>
      <c r="H126" s="1" t="s">
        <v>20</v>
      </c>
      <c r="I126" s="1" t="s">
        <v>20</v>
      </c>
      <c r="J126" s="1" t="s">
        <v>34</v>
      </c>
      <c r="K126" s="1" t="s">
        <v>171</v>
      </c>
      <c r="L126">
        <v>20220712094918</v>
      </c>
      <c r="M126" s="1" t="s">
        <v>232</v>
      </c>
      <c r="N126" s="1" t="s">
        <v>140</v>
      </c>
      <c r="O126">
        <v>7</v>
      </c>
      <c r="P126" s="3">
        <v>44754</v>
      </c>
      <c r="Q126">
        <v>28</v>
      </c>
    </row>
    <row r="127" spans="1:17" x14ac:dyDescent="0.3">
      <c r="A127" s="1" t="s">
        <v>219</v>
      </c>
      <c r="B127" s="2">
        <v>44754.450694444444</v>
      </c>
      <c r="C127" s="1" t="s">
        <v>18</v>
      </c>
      <c r="D127" s="1" t="s">
        <v>195</v>
      </c>
      <c r="E127" s="1" t="s">
        <v>20</v>
      </c>
      <c r="F127" s="1" t="s">
        <v>20</v>
      </c>
      <c r="G127" s="1" t="s">
        <v>20</v>
      </c>
      <c r="H127" s="1" t="s">
        <v>20</v>
      </c>
      <c r="I127" s="1" t="s">
        <v>20</v>
      </c>
      <c r="J127" s="1" t="s">
        <v>21</v>
      </c>
      <c r="K127" s="1" t="s">
        <v>221</v>
      </c>
      <c r="L127">
        <v>20220712094919</v>
      </c>
      <c r="M127" s="1" t="s">
        <v>233</v>
      </c>
      <c r="N127" s="1" t="s">
        <v>140</v>
      </c>
      <c r="O127">
        <v>7</v>
      </c>
      <c r="P127" s="3">
        <v>44754</v>
      </c>
      <c r="Q127">
        <v>28</v>
      </c>
    </row>
    <row r="128" spans="1:17" x14ac:dyDescent="0.3">
      <c r="A128" s="1" t="s">
        <v>234</v>
      </c>
      <c r="B128" s="2">
        <v>44754.40902777778</v>
      </c>
      <c r="C128" s="1" t="s">
        <v>37</v>
      </c>
      <c r="D128" s="1" t="s">
        <v>41</v>
      </c>
      <c r="E128" s="1" t="s">
        <v>42</v>
      </c>
      <c r="F128" s="1" t="s">
        <v>77</v>
      </c>
      <c r="G128" s="1" t="s">
        <v>77</v>
      </c>
      <c r="H128" s="1" t="s">
        <v>77</v>
      </c>
      <c r="I128" s="1" t="s">
        <v>77</v>
      </c>
      <c r="J128" s="1" t="s">
        <v>77</v>
      </c>
      <c r="K128" s="1" t="s">
        <v>20</v>
      </c>
      <c r="L128">
        <v>20220712094908</v>
      </c>
      <c r="M128" s="1" t="s">
        <v>235</v>
      </c>
      <c r="N128" s="1" t="s">
        <v>140</v>
      </c>
      <c r="O128">
        <v>7</v>
      </c>
      <c r="P128" s="3">
        <v>44754</v>
      </c>
      <c r="Q128">
        <v>28</v>
      </c>
    </row>
    <row r="129" spans="1:17" x14ac:dyDescent="0.3">
      <c r="A129" s="1" t="s">
        <v>236</v>
      </c>
      <c r="B129" s="2">
        <v>44755.385416666664</v>
      </c>
      <c r="C129" s="1" t="s">
        <v>37</v>
      </c>
      <c r="D129" s="1" t="s">
        <v>60</v>
      </c>
      <c r="E129" s="1" t="s">
        <v>61</v>
      </c>
      <c r="F129" s="1" t="s">
        <v>77</v>
      </c>
      <c r="G129" s="1" t="s">
        <v>77</v>
      </c>
      <c r="H129" s="1" t="s">
        <v>77</v>
      </c>
      <c r="I129" s="1" t="s">
        <v>77</v>
      </c>
      <c r="J129" s="1" t="s">
        <v>77</v>
      </c>
      <c r="K129" s="1" t="s">
        <v>77</v>
      </c>
      <c r="L129">
        <v>20220713091505</v>
      </c>
      <c r="M129" s="1" t="s">
        <v>237</v>
      </c>
      <c r="N129" s="1" t="s">
        <v>24</v>
      </c>
      <c r="O129">
        <v>7</v>
      </c>
      <c r="P129" s="3">
        <v>44755</v>
      </c>
      <c r="Q129">
        <v>28</v>
      </c>
    </row>
    <row r="130" spans="1:17" x14ac:dyDescent="0.3">
      <c r="A130" s="1" t="s">
        <v>236</v>
      </c>
      <c r="B130" s="2">
        <v>44755.385416666664</v>
      </c>
      <c r="C130" s="1" t="s">
        <v>37</v>
      </c>
      <c r="D130" s="1" t="s">
        <v>47</v>
      </c>
      <c r="E130" s="1" t="s">
        <v>51</v>
      </c>
      <c r="F130" s="1" t="s">
        <v>77</v>
      </c>
      <c r="G130" s="1" t="s">
        <v>77</v>
      </c>
      <c r="H130" s="1" t="s">
        <v>77</v>
      </c>
      <c r="I130" s="1" t="s">
        <v>77</v>
      </c>
      <c r="J130" s="1" t="s">
        <v>77</v>
      </c>
      <c r="K130" s="1" t="s">
        <v>77</v>
      </c>
      <c r="L130">
        <v>20220713091517</v>
      </c>
      <c r="M130" s="1" t="s">
        <v>238</v>
      </c>
      <c r="N130" s="1" t="s">
        <v>24</v>
      </c>
      <c r="O130">
        <v>7</v>
      </c>
      <c r="P130" s="3">
        <v>44755</v>
      </c>
      <c r="Q130">
        <v>28</v>
      </c>
    </row>
    <row r="131" spans="1:17" x14ac:dyDescent="0.3">
      <c r="A131" s="1" t="s">
        <v>236</v>
      </c>
      <c r="B131" s="2">
        <v>44755.385416666664</v>
      </c>
      <c r="C131" s="1" t="s">
        <v>37</v>
      </c>
      <c r="D131" s="1" t="s">
        <v>53</v>
      </c>
      <c r="E131" s="1" t="s">
        <v>54</v>
      </c>
      <c r="F131" s="1" t="s">
        <v>77</v>
      </c>
      <c r="G131" s="1" t="s">
        <v>77</v>
      </c>
      <c r="H131" s="1" t="s">
        <v>77</v>
      </c>
      <c r="I131" s="1" t="s">
        <v>77</v>
      </c>
      <c r="J131" s="1" t="s">
        <v>77</v>
      </c>
      <c r="K131" s="1" t="s">
        <v>77</v>
      </c>
      <c r="L131">
        <v>20220713091528</v>
      </c>
      <c r="M131" s="1" t="s">
        <v>239</v>
      </c>
      <c r="N131" s="1" t="s">
        <v>24</v>
      </c>
      <c r="O131">
        <v>7</v>
      </c>
      <c r="P131" s="3">
        <v>44755</v>
      </c>
      <c r="Q131">
        <v>28</v>
      </c>
    </row>
    <row r="132" spans="1:17" x14ac:dyDescent="0.3">
      <c r="A132" s="1" t="s">
        <v>236</v>
      </c>
      <c r="B132" s="2">
        <v>44755.385416666664</v>
      </c>
      <c r="C132" s="1" t="s">
        <v>37</v>
      </c>
      <c r="D132" s="1" t="s">
        <v>44</v>
      </c>
      <c r="E132" s="1" t="s">
        <v>45</v>
      </c>
      <c r="F132" s="1" t="s">
        <v>77</v>
      </c>
      <c r="G132" s="1" t="s">
        <v>77</v>
      </c>
      <c r="H132" s="1" t="s">
        <v>77</v>
      </c>
      <c r="I132" s="1" t="s">
        <v>77</v>
      </c>
      <c r="J132" s="1" t="s">
        <v>77</v>
      </c>
      <c r="K132" s="1" t="s">
        <v>77</v>
      </c>
      <c r="L132">
        <v>20220713091537</v>
      </c>
      <c r="M132" s="1" t="s">
        <v>240</v>
      </c>
      <c r="N132" s="1" t="s">
        <v>24</v>
      </c>
      <c r="O132">
        <v>7</v>
      </c>
      <c r="P132" s="3">
        <v>44755</v>
      </c>
      <c r="Q132">
        <v>28</v>
      </c>
    </row>
    <row r="133" spans="1:17" x14ac:dyDescent="0.3">
      <c r="A133" s="1" t="s">
        <v>241</v>
      </c>
      <c r="B133" s="2">
        <v>44755.40902777778</v>
      </c>
      <c r="C133" s="1" t="s">
        <v>37</v>
      </c>
      <c r="D133" s="1" t="s">
        <v>47</v>
      </c>
      <c r="E133" s="1" t="s">
        <v>48</v>
      </c>
      <c r="F133" s="1" t="s">
        <v>77</v>
      </c>
      <c r="G133" s="1" t="s">
        <v>77</v>
      </c>
      <c r="H133" s="1" t="s">
        <v>77</v>
      </c>
      <c r="I133" s="1" t="s">
        <v>77</v>
      </c>
      <c r="J133" s="1" t="s">
        <v>77</v>
      </c>
      <c r="K133" s="1" t="s">
        <v>77</v>
      </c>
      <c r="L133">
        <v>20220713094856</v>
      </c>
      <c r="M133" s="1" t="s">
        <v>242</v>
      </c>
      <c r="N133" s="1" t="s">
        <v>24</v>
      </c>
      <c r="O133">
        <v>7</v>
      </c>
      <c r="P133" s="3">
        <v>44755</v>
      </c>
      <c r="Q133">
        <v>28</v>
      </c>
    </row>
    <row r="134" spans="1:17" x14ac:dyDescent="0.3">
      <c r="A134" s="1" t="s">
        <v>243</v>
      </c>
      <c r="B134" s="2">
        <v>44755.40902777778</v>
      </c>
      <c r="C134" s="1" t="s">
        <v>37</v>
      </c>
      <c r="D134" s="1" t="s">
        <v>41</v>
      </c>
      <c r="E134" s="1" t="s">
        <v>42</v>
      </c>
      <c r="F134" s="1" t="s">
        <v>77</v>
      </c>
      <c r="G134" s="1" t="s">
        <v>77</v>
      </c>
      <c r="H134" s="1" t="s">
        <v>77</v>
      </c>
      <c r="I134" s="1" t="s">
        <v>77</v>
      </c>
      <c r="J134" s="1" t="s">
        <v>77</v>
      </c>
      <c r="K134" s="1" t="s">
        <v>77</v>
      </c>
      <c r="L134">
        <v>20220713094908</v>
      </c>
      <c r="M134" s="1" t="s">
        <v>235</v>
      </c>
      <c r="N134" s="1" t="s">
        <v>24</v>
      </c>
      <c r="O134">
        <v>7</v>
      </c>
      <c r="P134" s="3">
        <v>44755</v>
      </c>
      <c r="Q134">
        <v>28</v>
      </c>
    </row>
    <row r="135" spans="1:17" x14ac:dyDescent="0.3">
      <c r="A135" s="1" t="s">
        <v>243</v>
      </c>
      <c r="B135" s="2">
        <v>44755.40902777778</v>
      </c>
      <c r="C135" s="1" t="s">
        <v>37</v>
      </c>
      <c r="D135" s="1" t="s">
        <v>19</v>
      </c>
      <c r="E135" s="1" t="s">
        <v>58</v>
      </c>
      <c r="F135" s="1" t="s">
        <v>77</v>
      </c>
      <c r="G135" s="1" t="s">
        <v>77</v>
      </c>
      <c r="H135" s="1" t="s">
        <v>77</v>
      </c>
      <c r="I135" s="1" t="s">
        <v>77</v>
      </c>
      <c r="J135" s="1" t="s">
        <v>20</v>
      </c>
      <c r="K135" s="1" t="s">
        <v>20</v>
      </c>
      <c r="L135">
        <v>20220713094918</v>
      </c>
      <c r="M135" s="1" t="s">
        <v>244</v>
      </c>
      <c r="N135" s="1" t="s">
        <v>24</v>
      </c>
      <c r="O135">
        <v>7</v>
      </c>
      <c r="P135" s="3">
        <v>44755</v>
      </c>
      <c r="Q135">
        <v>28</v>
      </c>
    </row>
    <row r="136" spans="1:17" x14ac:dyDescent="0.3">
      <c r="A136" s="1" t="s">
        <v>245</v>
      </c>
      <c r="B136" s="2">
        <v>44755.423611111109</v>
      </c>
      <c r="C136" s="1" t="s">
        <v>18</v>
      </c>
      <c r="D136" s="1" t="s">
        <v>195</v>
      </c>
      <c r="E136" s="1" t="s">
        <v>20</v>
      </c>
      <c r="F136" s="1" t="s">
        <v>77</v>
      </c>
      <c r="G136" s="1" t="s">
        <v>77</v>
      </c>
      <c r="H136" s="1" t="s">
        <v>77</v>
      </c>
      <c r="I136" s="1" t="s">
        <v>77</v>
      </c>
      <c r="J136" s="1" t="s">
        <v>21</v>
      </c>
      <c r="K136" s="1" t="s">
        <v>246</v>
      </c>
      <c r="L136">
        <v>20220713101012</v>
      </c>
      <c r="M136" s="1" t="s">
        <v>247</v>
      </c>
      <c r="N136" s="1" t="s">
        <v>24</v>
      </c>
      <c r="O136">
        <v>7</v>
      </c>
      <c r="P136" s="3">
        <v>44755</v>
      </c>
      <c r="Q136">
        <v>28</v>
      </c>
    </row>
    <row r="137" spans="1:17" x14ac:dyDescent="0.3">
      <c r="A137" s="1" t="s">
        <v>248</v>
      </c>
      <c r="B137" s="2">
        <v>44755.432638888888</v>
      </c>
      <c r="C137" s="1" t="s">
        <v>37</v>
      </c>
      <c r="D137" s="1" t="s">
        <v>38</v>
      </c>
      <c r="E137" s="1" t="s">
        <v>39</v>
      </c>
      <c r="F137" s="1" t="s">
        <v>77</v>
      </c>
      <c r="G137" s="1" t="s">
        <v>77</v>
      </c>
      <c r="H137" s="1" t="s">
        <v>77</v>
      </c>
      <c r="I137" s="1" t="s">
        <v>77</v>
      </c>
      <c r="J137" s="1" t="s">
        <v>77</v>
      </c>
      <c r="K137" s="1" t="s">
        <v>77</v>
      </c>
      <c r="L137">
        <v>20220713102318</v>
      </c>
      <c r="M137" s="1" t="s">
        <v>249</v>
      </c>
      <c r="N137" s="1" t="s">
        <v>24</v>
      </c>
      <c r="O137">
        <v>7</v>
      </c>
      <c r="P137" s="3">
        <v>44755</v>
      </c>
      <c r="Q137">
        <v>28</v>
      </c>
    </row>
    <row r="138" spans="1:17" x14ac:dyDescent="0.3">
      <c r="A138" s="1" t="s">
        <v>250</v>
      </c>
      <c r="B138" s="2">
        <v>44755.458333333336</v>
      </c>
      <c r="C138" s="1" t="s">
        <v>18</v>
      </c>
      <c r="D138" s="1" t="s">
        <v>29</v>
      </c>
      <c r="E138" s="1" t="s">
        <v>77</v>
      </c>
      <c r="F138" s="1" t="s">
        <v>77</v>
      </c>
      <c r="G138" s="1" t="s">
        <v>77</v>
      </c>
      <c r="H138" s="1" t="s">
        <v>77</v>
      </c>
      <c r="I138" s="1" t="s">
        <v>77</v>
      </c>
      <c r="J138" s="1" t="s">
        <v>34</v>
      </c>
      <c r="K138" s="1" t="s">
        <v>251</v>
      </c>
      <c r="L138">
        <v>20220713110015</v>
      </c>
      <c r="M138" s="1" t="s">
        <v>252</v>
      </c>
      <c r="N138" s="1" t="s">
        <v>24</v>
      </c>
      <c r="O138">
        <v>7</v>
      </c>
      <c r="P138" s="3">
        <v>44755</v>
      </c>
      <c r="Q138">
        <v>28</v>
      </c>
    </row>
    <row r="139" spans="1:17" x14ac:dyDescent="0.3">
      <c r="A139" s="1" t="s">
        <v>250</v>
      </c>
      <c r="B139" s="2">
        <v>44755.458333333336</v>
      </c>
      <c r="C139" s="1" t="s">
        <v>18</v>
      </c>
      <c r="D139" s="1" t="s">
        <v>29</v>
      </c>
      <c r="E139" s="1" t="s">
        <v>77</v>
      </c>
      <c r="F139" s="1" t="s">
        <v>77</v>
      </c>
      <c r="G139" s="1" t="s">
        <v>77</v>
      </c>
      <c r="H139" s="1" t="s">
        <v>77</v>
      </c>
      <c r="I139" s="1" t="s">
        <v>77</v>
      </c>
      <c r="J139" s="1" t="s">
        <v>30</v>
      </c>
      <c r="K139" s="1" t="s">
        <v>175</v>
      </c>
      <c r="L139">
        <v>20220713110044</v>
      </c>
      <c r="M139" s="1" t="s">
        <v>253</v>
      </c>
      <c r="N139" s="1" t="s">
        <v>24</v>
      </c>
      <c r="O139">
        <v>7</v>
      </c>
      <c r="P139" s="3">
        <v>44755</v>
      </c>
      <c r="Q139">
        <v>28</v>
      </c>
    </row>
    <row r="140" spans="1:17" x14ac:dyDescent="0.3">
      <c r="A140" s="1" t="s">
        <v>250</v>
      </c>
      <c r="B140" s="2">
        <v>44755.459027777775</v>
      </c>
      <c r="C140" s="1" t="s">
        <v>37</v>
      </c>
      <c r="D140" s="1" t="s">
        <v>26</v>
      </c>
      <c r="E140" s="1" t="s">
        <v>27</v>
      </c>
      <c r="F140" s="1" t="s">
        <v>77</v>
      </c>
      <c r="G140" s="1" t="s">
        <v>77</v>
      </c>
      <c r="H140" s="1" t="s">
        <v>77</v>
      </c>
      <c r="I140" s="1" t="s">
        <v>77</v>
      </c>
      <c r="J140" s="1" t="s">
        <v>20</v>
      </c>
      <c r="K140" s="1" t="s">
        <v>20</v>
      </c>
      <c r="L140">
        <v>20220713110057</v>
      </c>
      <c r="M140" s="1" t="s">
        <v>254</v>
      </c>
      <c r="N140" s="1" t="s">
        <v>24</v>
      </c>
      <c r="O140">
        <v>7</v>
      </c>
      <c r="P140" s="3">
        <v>44755</v>
      </c>
      <c r="Q140">
        <v>28</v>
      </c>
    </row>
    <row r="141" spans="1:17" x14ac:dyDescent="0.3">
      <c r="A141" s="1" t="s">
        <v>255</v>
      </c>
      <c r="B141" s="2">
        <v>44756.394444444442</v>
      </c>
      <c r="C141" s="1" t="s">
        <v>37</v>
      </c>
      <c r="D141" s="1" t="s">
        <v>19</v>
      </c>
      <c r="E141" s="1" t="s">
        <v>58</v>
      </c>
      <c r="F141" s="1" t="s">
        <v>77</v>
      </c>
      <c r="G141" s="1" t="s">
        <v>77</v>
      </c>
      <c r="H141" s="1" t="s">
        <v>77</v>
      </c>
      <c r="I141" s="1" t="s">
        <v>77</v>
      </c>
      <c r="J141" s="1" t="s">
        <v>77</v>
      </c>
      <c r="K141" s="1" t="s">
        <v>77</v>
      </c>
      <c r="L141">
        <v>20220714092838</v>
      </c>
      <c r="M141" s="1" t="s">
        <v>256</v>
      </c>
      <c r="N141" s="1" t="s">
        <v>65</v>
      </c>
      <c r="O141">
        <v>7</v>
      </c>
      <c r="P141" s="3">
        <v>44756</v>
      </c>
      <c r="Q141">
        <v>28</v>
      </c>
    </row>
    <row r="142" spans="1:17" x14ac:dyDescent="0.3">
      <c r="A142" s="1" t="s">
        <v>255</v>
      </c>
      <c r="B142" s="2">
        <v>44756.394444444442</v>
      </c>
      <c r="C142" s="1" t="s">
        <v>37</v>
      </c>
      <c r="D142" s="1" t="s">
        <v>60</v>
      </c>
      <c r="E142" s="1" t="s">
        <v>61</v>
      </c>
      <c r="F142" s="1" t="s">
        <v>77</v>
      </c>
      <c r="G142" s="1" t="s">
        <v>77</v>
      </c>
      <c r="H142" s="1" t="s">
        <v>77</v>
      </c>
      <c r="I142" s="1" t="s">
        <v>77</v>
      </c>
      <c r="J142" s="1" t="s">
        <v>77</v>
      </c>
      <c r="K142" s="1" t="s">
        <v>77</v>
      </c>
      <c r="L142">
        <v>20220714092848</v>
      </c>
      <c r="M142" s="1" t="s">
        <v>257</v>
      </c>
      <c r="N142" s="1" t="s">
        <v>65</v>
      </c>
      <c r="O142">
        <v>7</v>
      </c>
      <c r="P142" s="3">
        <v>44756</v>
      </c>
      <c r="Q142">
        <v>28</v>
      </c>
    </row>
    <row r="143" spans="1:17" x14ac:dyDescent="0.3">
      <c r="A143" s="1" t="s">
        <v>255</v>
      </c>
      <c r="B143" s="2">
        <v>44756.395138888889</v>
      </c>
      <c r="C143" s="1" t="s">
        <v>37</v>
      </c>
      <c r="D143" s="1" t="s">
        <v>53</v>
      </c>
      <c r="E143" s="1" t="s">
        <v>54</v>
      </c>
      <c r="F143" s="1" t="s">
        <v>77</v>
      </c>
      <c r="G143" s="1" t="s">
        <v>77</v>
      </c>
      <c r="H143" s="1" t="s">
        <v>77</v>
      </c>
      <c r="I143" s="1" t="s">
        <v>77</v>
      </c>
      <c r="J143" s="1" t="s">
        <v>77</v>
      </c>
      <c r="K143" s="1" t="s">
        <v>77</v>
      </c>
      <c r="L143">
        <v>20220714092858</v>
      </c>
      <c r="M143" s="1" t="s">
        <v>258</v>
      </c>
      <c r="N143" s="1" t="s">
        <v>65</v>
      </c>
      <c r="O143">
        <v>7</v>
      </c>
      <c r="P143" s="3">
        <v>44756</v>
      </c>
      <c r="Q143">
        <v>28</v>
      </c>
    </row>
    <row r="144" spans="1:17" x14ac:dyDescent="0.3">
      <c r="A144" s="1" t="s">
        <v>259</v>
      </c>
      <c r="B144" s="2">
        <v>44756.395138888889</v>
      </c>
      <c r="C144" s="1" t="s">
        <v>37</v>
      </c>
      <c r="D144" s="1" t="s">
        <v>47</v>
      </c>
      <c r="E144" s="1" t="s">
        <v>51</v>
      </c>
      <c r="F144" s="1" t="s">
        <v>77</v>
      </c>
      <c r="G144" s="1" t="s">
        <v>77</v>
      </c>
      <c r="H144" s="1" t="s">
        <v>77</v>
      </c>
      <c r="I144" s="1" t="s">
        <v>77</v>
      </c>
      <c r="J144" s="1" t="s">
        <v>77</v>
      </c>
      <c r="K144" s="1" t="s">
        <v>77</v>
      </c>
      <c r="L144">
        <v>20220714092909</v>
      </c>
      <c r="M144" s="1" t="s">
        <v>260</v>
      </c>
      <c r="N144" s="1" t="s">
        <v>65</v>
      </c>
      <c r="O144">
        <v>7</v>
      </c>
      <c r="P144" s="3">
        <v>44756</v>
      </c>
      <c r="Q144">
        <v>28</v>
      </c>
    </row>
    <row r="145" spans="1:17" x14ac:dyDescent="0.3">
      <c r="A145" s="1" t="s">
        <v>259</v>
      </c>
      <c r="B145" s="2">
        <v>44756.395138888889</v>
      </c>
      <c r="C145" s="1" t="s">
        <v>37</v>
      </c>
      <c r="D145" s="1" t="s">
        <v>44</v>
      </c>
      <c r="E145" s="1" t="s">
        <v>45</v>
      </c>
      <c r="F145" s="1" t="s">
        <v>77</v>
      </c>
      <c r="G145" s="1" t="s">
        <v>77</v>
      </c>
      <c r="H145" s="1" t="s">
        <v>77</v>
      </c>
      <c r="I145" s="1" t="s">
        <v>77</v>
      </c>
      <c r="J145" s="1" t="s">
        <v>77</v>
      </c>
      <c r="K145" s="1" t="s">
        <v>77</v>
      </c>
      <c r="L145">
        <v>20220714092920</v>
      </c>
      <c r="M145" s="1" t="s">
        <v>261</v>
      </c>
      <c r="N145" s="1" t="s">
        <v>65</v>
      </c>
      <c r="O145">
        <v>7</v>
      </c>
      <c r="P145" s="3">
        <v>44756</v>
      </c>
      <c r="Q145">
        <v>28</v>
      </c>
    </row>
    <row r="146" spans="1:17" x14ac:dyDescent="0.3">
      <c r="A146" s="1" t="s">
        <v>259</v>
      </c>
      <c r="B146" s="2">
        <v>44756.395138888889</v>
      </c>
      <c r="C146" s="1" t="s">
        <v>37</v>
      </c>
      <c r="D146" s="1" t="s">
        <v>38</v>
      </c>
      <c r="E146" s="1" t="s">
        <v>39</v>
      </c>
      <c r="F146" s="1" t="s">
        <v>77</v>
      </c>
      <c r="G146" s="1" t="s">
        <v>77</v>
      </c>
      <c r="H146" s="1" t="s">
        <v>77</v>
      </c>
      <c r="I146" s="1" t="s">
        <v>77</v>
      </c>
      <c r="J146" s="1" t="s">
        <v>77</v>
      </c>
      <c r="K146" s="1" t="s">
        <v>77</v>
      </c>
      <c r="L146">
        <v>20220714092930</v>
      </c>
      <c r="M146" s="1" t="s">
        <v>262</v>
      </c>
      <c r="N146" s="1" t="s">
        <v>65</v>
      </c>
      <c r="O146">
        <v>7</v>
      </c>
      <c r="P146" s="3">
        <v>44756</v>
      </c>
      <c r="Q146">
        <v>28</v>
      </c>
    </row>
    <row r="147" spans="1:17" x14ac:dyDescent="0.3">
      <c r="A147" s="1" t="s">
        <v>263</v>
      </c>
      <c r="B147" s="2">
        <v>44756.397916666669</v>
      </c>
      <c r="C147" s="1" t="s">
        <v>37</v>
      </c>
      <c r="D147" s="1" t="s">
        <v>41</v>
      </c>
      <c r="E147" s="1" t="s">
        <v>42</v>
      </c>
      <c r="F147" s="1" t="s">
        <v>77</v>
      </c>
      <c r="G147" s="1" t="s">
        <v>77</v>
      </c>
      <c r="H147" s="1" t="s">
        <v>77</v>
      </c>
      <c r="I147" s="1" t="s">
        <v>77</v>
      </c>
      <c r="J147" s="1" t="s">
        <v>77</v>
      </c>
      <c r="K147" s="1" t="s">
        <v>77</v>
      </c>
      <c r="L147">
        <v>20220714093311</v>
      </c>
      <c r="M147" s="1" t="s">
        <v>264</v>
      </c>
      <c r="N147" s="1" t="s">
        <v>65</v>
      </c>
      <c r="O147">
        <v>7</v>
      </c>
      <c r="P147" s="3">
        <v>44756</v>
      </c>
      <c r="Q147">
        <v>28</v>
      </c>
    </row>
    <row r="148" spans="1:17" x14ac:dyDescent="0.3">
      <c r="A148" s="1" t="s">
        <v>265</v>
      </c>
      <c r="B148" s="2">
        <v>44756.444444444445</v>
      </c>
      <c r="C148" s="1" t="s">
        <v>37</v>
      </c>
      <c r="D148" s="1" t="s">
        <v>53</v>
      </c>
      <c r="E148" s="1" t="s">
        <v>56</v>
      </c>
      <c r="F148" s="1" t="s">
        <v>20</v>
      </c>
      <c r="G148" s="1" t="s">
        <v>20</v>
      </c>
      <c r="H148" s="1" t="s">
        <v>77</v>
      </c>
      <c r="I148" s="1" t="s">
        <v>77</v>
      </c>
      <c r="J148" s="1" t="s">
        <v>77</v>
      </c>
      <c r="K148" s="1" t="s">
        <v>77</v>
      </c>
      <c r="L148">
        <v>20220714103952</v>
      </c>
      <c r="M148" s="1" t="s">
        <v>266</v>
      </c>
      <c r="N148" s="1" t="s">
        <v>65</v>
      </c>
      <c r="O148">
        <v>7</v>
      </c>
      <c r="P148" s="3">
        <v>44756</v>
      </c>
      <c r="Q148">
        <v>28</v>
      </c>
    </row>
    <row r="149" spans="1:17" x14ac:dyDescent="0.3">
      <c r="A149" s="1" t="s">
        <v>267</v>
      </c>
      <c r="B149" s="2">
        <v>44756.444444444445</v>
      </c>
      <c r="C149" s="1" t="s">
        <v>18</v>
      </c>
      <c r="D149" s="1" t="s">
        <v>29</v>
      </c>
      <c r="E149" s="1" t="s">
        <v>77</v>
      </c>
      <c r="F149" s="1" t="s">
        <v>77</v>
      </c>
      <c r="G149" s="1" t="s">
        <v>77</v>
      </c>
      <c r="H149" s="1" t="s">
        <v>77</v>
      </c>
      <c r="I149" s="1" t="s">
        <v>77</v>
      </c>
      <c r="J149" s="1" t="s">
        <v>34</v>
      </c>
      <c r="K149" s="1" t="s">
        <v>171</v>
      </c>
      <c r="L149">
        <v>20220714104006</v>
      </c>
      <c r="M149" s="1" t="s">
        <v>268</v>
      </c>
      <c r="N149" s="1" t="s">
        <v>65</v>
      </c>
      <c r="O149">
        <v>7</v>
      </c>
      <c r="P149" s="3">
        <v>44756</v>
      </c>
      <c r="Q149">
        <v>28</v>
      </c>
    </row>
    <row r="150" spans="1:17" x14ac:dyDescent="0.3">
      <c r="A150" s="1" t="s">
        <v>267</v>
      </c>
      <c r="B150" s="2">
        <v>44756.444444444445</v>
      </c>
      <c r="C150" s="1" t="s">
        <v>18</v>
      </c>
      <c r="D150" s="1" t="s">
        <v>29</v>
      </c>
      <c r="E150" s="1" t="s">
        <v>77</v>
      </c>
      <c r="F150" s="1" t="s">
        <v>77</v>
      </c>
      <c r="G150" s="1" t="s">
        <v>77</v>
      </c>
      <c r="H150" s="1" t="s">
        <v>77</v>
      </c>
      <c r="I150" s="1" t="s">
        <v>77</v>
      </c>
      <c r="J150" s="1" t="s">
        <v>30</v>
      </c>
      <c r="K150" s="1" t="s">
        <v>171</v>
      </c>
      <c r="L150">
        <v>20220714104040</v>
      </c>
      <c r="M150" s="1" t="s">
        <v>269</v>
      </c>
      <c r="N150" s="1" t="s">
        <v>65</v>
      </c>
      <c r="O150">
        <v>7</v>
      </c>
      <c r="P150" s="3">
        <v>44756</v>
      </c>
      <c r="Q150">
        <v>28</v>
      </c>
    </row>
    <row r="151" spans="1:17" x14ac:dyDescent="0.3">
      <c r="A151" s="1" t="s">
        <v>267</v>
      </c>
      <c r="B151" s="2">
        <v>44756.445138888892</v>
      </c>
      <c r="C151" s="1" t="s">
        <v>37</v>
      </c>
      <c r="D151" s="1" t="s">
        <v>195</v>
      </c>
      <c r="E151" s="1" t="s">
        <v>21</v>
      </c>
      <c r="F151" s="1" t="s">
        <v>77</v>
      </c>
      <c r="G151" s="1" t="s">
        <v>77</v>
      </c>
      <c r="H151" s="1" t="s">
        <v>77</v>
      </c>
      <c r="I151" s="1" t="s">
        <v>77</v>
      </c>
      <c r="J151" s="1" t="s">
        <v>20</v>
      </c>
      <c r="K151" s="1" t="s">
        <v>20</v>
      </c>
      <c r="L151">
        <v>20220714104050</v>
      </c>
      <c r="M151" s="1" t="s">
        <v>270</v>
      </c>
      <c r="N151" s="1" t="s">
        <v>65</v>
      </c>
      <c r="O151">
        <v>7</v>
      </c>
      <c r="P151" s="3">
        <v>44756</v>
      </c>
      <c r="Q151">
        <v>28</v>
      </c>
    </row>
    <row r="152" spans="1:17" x14ac:dyDescent="0.3">
      <c r="A152" s="1" t="s">
        <v>271</v>
      </c>
      <c r="B152" s="2">
        <v>44756.445138888892</v>
      </c>
      <c r="C152" s="1" t="s">
        <v>18</v>
      </c>
      <c r="D152" s="1" t="s">
        <v>26</v>
      </c>
      <c r="E152" s="1" t="s">
        <v>77</v>
      </c>
      <c r="F152" s="1" t="s">
        <v>77</v>
      </c>
      <c r="G152" s="1" t="s">
        <v>77</v>
      </c>
      <c r="H152" s="1" t="s">
        <v>77</v>
      </c>
      <c r="I152" s="1" t="s">
        <v>77</v>
      </c>
      <c r="J152" s="1" t="s">
        <v>27</v>
      </c>
      <c r="K152" s="1" t="s">
        <v>22</v>
      </c>
      <c r="L152">
        <v>20220714104132</v>
      </c>
      <c r="M152" s="1" t="s">
        <v>272</v>
      </c>
      <c r="N152" s="1" t="s">
        <v>65</v>
      </c>
      <c r="O152">
        <v>7</v>
      </c>
      <c r="P152" s="3">
        <v>44756</v>
      </c>
      <c r="Q152">
        <v>28</v>
      </c>
    </row>
    <row r="153" spans="1:17" x14ac:dyDescent="0.3">
      <c r="A153" s="1" t="s">
        <v>273</v>
      </c>
      <c r="B153" s="2">
        <v>44756.445833333331</v>
      </c>
      <c r="C153" s="1" t="s">
        <v>168</v>
      </c>
      <c r="D153" s="1" t="s">
        <v>47</v>
      </c>
      <c r="E153" s="1" t="s">
        <v>77</v>
      </c>
      <c r="F153" s="1" t="s">
        <v>48</v>
      </c>
      <c r="G153" s="1" t="s">
        <v>274</v>
      </c>
      <c r="H153" s="1" t="s">
        <v>77</v>
      </c>
      <c r="I153" s="1" t="s">
        <v>77</v>
      </c>
      <c r="J153" s="1" t="s">
        <v>77</v>
      </c>
      <c r="K153" s="1" t="s">
        <v>77</v>
      </c>
      <c r="L153">
        <v>20220714104208</v>
      </c>
      <c r="M153" s="1" t="s">
        <v>275</v>
      </c>
      <c r="N153" s="1" t="s">
        <v>65</v>
      </c>
      <c r="O153">
        <v>7</v>
      </c>
      <c r="P153" s="3">
        <v>44756</v>
      </c>
      <c r="Q153">
        <v>28</v>
      </c>
    </row>
    <row r="154" spans="1:17" x14ac:dyDescent="0.3">
      <c r="A154" s="1" t="s">
        <v>276</v>
      </c>
      <c r="B154" s="2">
        <v>44757.384027777778</v>
      </c>
      <c r="C154" s="1" t="s">
        <v>37</v>
      </c>
      <c r="D154" s="1" t="s">
        <v>60</v>
      </c>
      <c r="E154" s="1" t="s">
        <v>61</v>
      </c>
      <c r="F154" s="1" t="s">
        <v>77</v>
      </c>
      <c r="G154" s="1" t="s">
        <v>77</v>
      </c>
      <c r="H154" s="1" t="s">
        <v>77</v>
      </c>
      <c r="I154" s="1" t="s">
        <v>77</v>
      </c>
      <c r="J154" s="1" t="s">
        <v>77</v>
      </c>
      <c r="K154" s="1" t="s">
        <v>77</v>
      </c>
      <c r="L154">
        <v>20220715091305</v>
      </c>
      <c r="M154" s="1" t="s">
        <v>277</v>
      </c>
      <c r="N154" s="1" t="s">
        <v>84</v>
      </c>
      <c r="O154">
        <v>7</v>
      </c>
      <c r="P154" s="3">
        <v>44757</v>
      </c>
      <c r="Q154">
        <v>28</v>
      </c>
    </row>
    <row r="155" spans="1:17" x14ac:dyDescent="0.3">
      <c r="A155" s="1" t="s">
        <v>276</v>
      </c>
      <c r="B155" s="2">
        <v>44757.384027777778</v>
      </c>
      <c r="C155" s="1" t="s">
        <v>37</v>
      </c>
      <c r="D155" s="1" t="s">
        <v>19</v>
      </c>
      <c r="E155" s="1" t="s">
        <v>58</v>
      </c>
      <c r="F155" s="1" t="s">
        <v>77</v>
      </c>
      <c r="G155" s="1" t="s">
        <v>77</v>
      </c>
      <c r="H155" s="1" t="s">
        <v>77</v>
      </c>
      <c r="I155" s="1" t="s">
        <v>77</v>
      </c>
      <c r="J155" s="1" t="s">
        <v>77</v>
      </c>
      <c r="K155" s="1" t="s">
        <v>77</v>
      </c>
      <c r="L155">
        <v>20220715091322</v>
      </c>
      <c r="M155" s="1" t="s">
        <v>278</v>
      </c>
      <c r="N155" s="1" t="s">
        <v>84</v>
      </c>
      <c r="O155">
        <v>7</v>
      </c>
      <c r="P155" s="3">
        <v>44757</v>
      </c>
      <c r="Q155">
        <v>28</v>
      </c>
    </row>
    <row r="156" spans="1:17" x14ac:dyDescent="0.3">
      <c r="A156" s="1" t="s">
        <v>276</v>
      </c>
      <c r="B156" s="2">
        <v>44757.384027777778</v>
      </c>
      <c r="C156" s="1" t="s">
        <v>37</v>
      </c>
      <c r="D156" s="1" t="s">
        <v>47</v>
      </c>
      <c r="E156" s="1" t="s">
        <v>51</v>
      </c>
      <c r="F156" s="1" t="s">
        <v>77</v>
      </c>
      <c r="G156" s="1" t="s">
        <v>77</v>
      </c>
      <c r="H156" s="1" t="s">
        <v>77</v>
      </c>
      <c r="I156" s="1" t="s">
        <v>77</v>
      </c>
      <c r="J156" s="1" t="s">
        <v>77</v>
      </c>
      <c r="K156" s="1" t="s">
        <v>77</v>
      </c>
      <c r="L156">
        <v>20220715091331</v>
      </c>
      <c r="M156" s="1" t="s">
        <v>279</v>
      </c>
      <c r="N156" s="1" t="s">
        <v>84</v>
      </c>
      <c r="O156">
        <v>7</v>
      </c>
      <c r="P156" s="3">
        <v>44757</v>
      </c>
      <c r="Q156">
        <v>28</v>
      </c>
    </row>
    <row r="157" spans="1:17" x14ac:dyDescent="0.3">
      <c r="A157" s="1" t="s">
        <v>276</v>
      </c>
      <c r="B157" s="2">
        <v>44757.384722222225</v>
      </c>
      <c r="C157" s="1" t="s">
        <v>37</v>
      </c>
      <c r="D157" s="1" t="s">
        <v>53</v>
      </c>
      <c r="E157" s="1" t="s">
        <v>54</v>
      </c>
      <c r="F157" s="1" t="s">
        <v>77</v>
      </c>
      <c r="G157" s="1" t="s">
        <v>77</v>
      </c>
      <c r="H157" s="1" t="s">
        <v>77</v>
      </c>
      <c r="I157" s="1" t="s">
        <v>77</v>
      </c>
      <c r="J157" s="1" t="s">
        <v>77</v>
      </c>
      <c r="K157" s="1" t="s">
        <v>77</v>
      </c>
      <c r="L157">
        <v>20220715091346</v>
      </c>
      <c r="M157" s="1" t="s">
        <v>280</v>
      </c>
      <c r="N157" s="1" t="s">
        <v>84</v>
      </c>
      <c r="O157">
        <v>7</v>
      </c>
      <c r="P157" s="3">
        <v>44757</v>
      </c>
      <c r="Q157">
        <v>28</v>
      </c>
    </row>
    <row r="158" spans="1:17" x14ac:dyDescent="0.3">
      <c r="A158" s="1" t="s">
        <v>281</v>
      </c>
      <c r="B158" s="2">
        <v>44757.384722222225</v>
      </c>
      <c r="C158" s="1" t="s">
        <v>37</v>
      </c>
      <c r="D158" s="1" t="s">
        <v>44</v>
      </c>
      <c r="E158" s="1" t="s">
        <v>45</v>
      </c>
      <c r="F158" s="1" t="s">
        <v>77</v>
      </c>
      <c r="G158" s="1" t="s">
        <v>77</v>
      </c>
      <c r="H158" s="1" t="s">
        <v>77</v>
      </c>
      <c r="I158" s="1" t="s">
        <v>77</v>
      </c>
      <c r="J158" s="1" t="s">
        <v>77</v>
      </c>
      <c r="K158" s="1" t="s">
        <v>77</v>
      </c>
      <c r="L158">
        <v>20220715091404</v>
      </c>
      <c r="M158" s="1" t="s">
        <v>282</v>
      </c>
      <c r="N158" s="1" t="s">
        <v>84</v>
      </c>
      <c r="O158">
        <v>7</v>
      </c>
      <c r="P158" s="3">
        <v>44757</v>
      </c>
      <c r="Q158">
        <v>28</v>
      </c>
    </row>
    <row r="159" spans="1:17" x14ac:dyDescent="0.3">
      <c r="A159" s="1" t="s">
        <v>281</v>
      </c>
      <c r="B159" s="2">
        <v>44757.384722222225</v>
      </c>
      <c r="C159" s="1" t="s">
        <v>37</v>
      </c>
      <c r="D159" s="1" t="s">
        <v>41</v>
      </c>
      <c r="E159" s="1" t="s">
        <v>42</v>
      </c>
      <c r="F159" s="1" t="s">
        <v>77</v>
      </c>
      <c r="G159" s="1" t="s">
        <v>77</v>
      </c>
      <c r="H159" s="1" t="s">
        <v>77</v>
      </c>
      <c r="I159" s="1" t="s">
        <v>77</v>
      </c>
      <c r="J159" s="1" t="s">
        <v>77</v>
      </c>
      <c r="K159" s="1" t="s">
        <v>77</v>
      </c>
      <c r="L159">
        <v>20220715091416</v>
      </c>
      <c r="M159" s="1" t="s">
        <v>283</v>
      </c>
      <c r="N159" s="1" t="s">
        <v>84</v>
      </c>
      <c r="O159">
        <v>7</v>
      </c>
      <c r="P159" s="3">
        <v>44757</v>
      </c>
      <c r="Q159">
        <v>28</v>
      </c>
    </row>
    <row r="160" spans="1:17" x14ac:dyDescent="0.3">
      <c r="A160" s="1" t="s">
        <v>284</v>
      </c>
      <c r="B160" s="2">
        <v>44757.385416666664</v>
      </c>
      <c r="C160" s="1" t="s">
        <v>37</v>
      </c>
      <c r="D160" s="1" t="s">
        <v>38</v>
      </c>
      <c r="E160" s="1" t="s">
        <v>39</v>
      </c>
      <c r="F160" s="1" t="s">
        <v>77</v>
      </c>
      <c r="G160" s="1" t="s">
        <v>77</v>
      </c>
      <c r="H160" s="1" t="s">
        <v>77</v>
      </c>
      <c r="I160" s="1" t="s">
        <v>77</v>
      </c>
      <c r="J160" s="1" t="s">
        <v>77</v>
      </c>
      <c r="K160" s="1" t="s">
        <v>77</v>
      </c>
      <c r="L160">
        <v>20220715091508</v>
      </c>
      <c r="M160" s="1" t="s">
        <v>285</v>
      </c>
      <c r="N160" s="1" t="s">
        <v>84</v>
      </c>
      <c r="O160">
        <v>7</v>
      </c>
      <c r="P160" s="3">
        <v>44757</v>
      </c>
      <c r="Q160">
        <v>28</v>
      </c>
    </row>
    <row r="161" spans="1:17" x14ac:dyDescent="0.3">
      <c r="A161" s="1" t="s">
        <v>284</v>
      </c>
      <c r="B161" s="2">
        <v>44757.385416666664</v>
      </c>
      <c r="C161" s="1" t="s">
        <v>37</v>
      </c>
      <c r="D161" s="1" t="s">
        <v>195</v>
      </c>
      <c r="E161" s="1" t="s">
        <v>21</v>
      </c>
      <c r="F161" s="1" t="s">
        <v>77</v>
      </c>
      <c r="G161" s="1" t="s">
        <v>77</v>
      </c>
      <c r="H161" s="1" t="s">
        <v>77</v>
      </c>
      <c r="I161" s="1" t="s">
        <v>77</v>
      </c>
      <c r="J161" s="1" t="s">
        <v>20</v>
      </c>
      <c r="K161" s="1" t="s">
        <v>20</v>
      </c>
      <c r="L161">
        <v>20220715091520</v>
      </c>
      <c r="M161" s="1" t="s">
        <v>286</v>
      </c>
      <c r="N161" s="1" t="s">
        <v>84</v>
      </c>
      <c r="O161">
        <v>7</v>
      </c>
      <c r="P161" s="3">
        <v>44757</v>
      </c>
      <c r="Q161">
        <v>28</v>
      </c>
    </row>
    <row r="162" spans="1:17" x14ac:dyDescent="0.3">
      <c r="A162" s="1" t="s">
        <v>284</v>
      </c>
      <c r="B162" s="2">
        <v>44757.385416666664</v>
      </c>
      <c r="C162" s="1" t="s">
        <v>18</v>
      </c>
      <c r="D162" s="1" t="s">
        <v>29</v>
      </c>
      <c r="E162" s="1" t="s">
        <v>77</v>
      </c>
      <c r="F162" s="1" t="s">
        <v>77</v>
      </c>
      <c r="G162" s="1" t="s">
        <v>77</v>
      </c>
      <c r="H162" s="1" t="s">
        <v>77</v>
      </c>
      <c r="I162" s="1" t="s">
        <v>77</v>
      </c>
      <c r="J162" s="1" t="s">
        <v>34</v>
      </c>
      <c r="K162" s="1" t="s">
        <v>171</v>
      </c>
      <c r="L162">
        <v>20220715091530</v>
      </c>
      <c r="M162" s="1" t="s">
        <v>287</v>
      </c>
      <c r="N162" s="1" t="s">
        <v>84</v>
      </c>
      <c r="O162">
        <v>7</v>
      </c>
      <c r="P162" s="3">
        <v>44757</v>
      </c>
      <c r="Q162">
        <v>28</v>
      </c>
    </row>
    <row r="163" spans="1:17" x14ac:dyDescent="0.3">
      <c r="A163" s="1" t="s">
        <v>284</v>
      </c>
      <c r="B163" s="2">
        <v>44757.385416666664</v>
      </c>
      <c r="C163" s="1" t="s">
        <v>18</v>
      </c>
      <c r="D163" s="1" t="s">
        <v>29</v>
      </c>
      <c r="E163" s="1" t="s">
        <v>77</v>
      </c>
      <c r="F163" s="1" t="s">
        <v>77</v>
      </c>
      <c r="G163" s="1" t="s">
        <v>77</v>
      </c>
      <c r="H163" s="1" t="s">
        <v>77</v>
      </c>
      <c r="I163" s="1" t="s">
        <v>77</v>
      </c>
      <c r="J163" s="1" t="s">
        <v>30</v>
      </c>
      <c r="K163" s="1" t="s">
        <v>171</v>
      </c>
      <c r="L163">
        <v>20220715091541</v>
      </c>
      <c r="M163" s="1" t="s">
        <v>288</v>
      </c>
      <c r="N163" s="1" t="s">
        <v>84</v>
      </c>
      <c r="O163">
        <v>7</v>
      </c>
      <c r="P163" s="3">
        <v>44757</v>
      </c>
      <c r="Q163">
        <v>28</v>
      </c>
    </row>
    <row r="164" spans="1:17" x14ac:dyDescent="0.3">
      <c r="A164" s="1" t="s">
        <v>284</v>
      </c>
      <c r="B164" s="2">
        <v>44757.386111111111</v>
      </c>
      <c r="C164" s="1" t="s">
        <v>18</v>
      </c>
      <c r="D164" s="1" t="s">
        <v>47</v>
      </c>
      <c r="E164" s="1" t="s">
        <v>77</v>
      </c>
      <c r="F164" s="1" t="s">
        <v>77</v>
      </c>
      <c r="G164" s="1" t="s">
        <v>77</v>
      </c>
      <c r="H164" s="1" t="s">
        <v>77</v>
      </c>
      <c r="I164" s="1" t="s">
        <v>77</v>
      </c>
      <c r="J164" s="1" t="s">
        <v>48</v>
      </c>
      <c r="K164" s="1" t="s">
        <v>274</v>
      </c>
      <c r="L164">
        <v>20220715091551</v>
      </c>
      <c r="M164" s="1" t="s">
        <v>289</v>
      </c>
      <c r="N164" s="1" t="s">
        <v>84</v>
      </c>
      <c r="O164">
        <v>7</v>
      </c>
      <c r="P164" s="3">
        <v>44757</v>
      </c>
      <c r="Q164">
        <v>28</v>
      </c>
    </row>
    <row r="165" spans="1:17" x14ac:dyDescent="0.3">
      <c r="A165" s="1" t="s">
        <v>290</v>
      </c>
      <c r="B165" s="2">
        <v>44757.386111111111</v>
      </c>
      <c r="C165" s="1" t="s">
        <v>18</v>
      </c>
      <c r="D165" s="1" t="s">
        <v>26</v>
      </c>
      <c r="E165" s="1" t="s">
        <v>77</v>
      </c>
      <c r="F165" s="1" t="s">
        <v>77</v>
      </c>
      <c r="G165" s="1" t="s">
        <v>77</v>
      </c>
      <c r="H165" s="1" t="s">
        <v>77</v>
      </c>
      <c r="I165" s="1" t="s">
        <v>77</v>
      </c>
      <c r="J165" s="1" t="s">
        <v>27</v>
      </c>
      <c r="K165" s="1" t="s">
        <v>22</v>
      </c>
      <c r="L165">
        <v>20220715091608</v>
      </c>
      <c r="M165" s="1" t="s">
        <v>291</v>
      </c>
      <c r="N165" s="1" t="s">
        <v>84</v>
      </c>
      <c r="O165">
        <v>7</v>
      </c>
      <c r="P165" s="3">
        <v>44757</v>
      </c>
      <c r="Q165">
        <v>28</v>
      </c>
    </row>
    <row r="166" spans="1:17" x14ac:dyDescent="0.3">
      <c r="A166" s="1" t="s">
        <v>290</v>
      </c>
      <c r="B166" s="2">
        <v>44757.386111111111</v>
      </c>
      <c r="C166" s="1" t="s">
        <v>18</v>
      </c>
      <c r="D166" s="1" t="s">
        <v>53</v>
      </c>
      <c r="E166" s="1" t="s">
        <v>77</v>
      </c>
      <c r="F166" s="1" t="s">
        <v>77</v>
      </c>
      <c r="G166" s="1" t="s">
        <v>77</v>
      </c>
      <c r="H166" s="1" t="s">
        <v>77</v>
      </c>
      <c r="I166" s="1" t="s">
        <v>77</v>
      </c>
      <c r="J166" s="1" t="s">
        <v>56</v>
      </c>
      <c r="K166" s="1" t="s">
        <v>197</v>
      </c>
      <c r="L166">
        <v>20220715091624</v>
      </c>
      <c r="M166" s="1" t="s">
        <v>292</v>
      </c>
      <c r="N166" s="1" t="s">
        <v>84</v>
      </c>
      <c r="O166">
        <v>7</v>
      </c>
      <c r="P166" s="3">
        <v>44757</v>
      </c>
      <c r="Q166">
        <v>28</v>
      </c>
    </row>
    <row r="167" spans="1:17" x14ac:dyDescent="0.3">
      <c r="A167" s="1" t="s">
        <v>293</v>
      </c>
      <c r="B167" s="2">
        <v>44758.413194444445</v>
      </c>
      <c r="C167" s="1" t="s">
        <v>37</v>
      </c>
      <c r="D167" s="1" t="s">
        <v>47</v>
      </c>
      <c r="E167" s="1" t="s">
        <v>51</v>
      </c>
      <c r="F167" s="1" t="s">
        <v>77</v>
      </c>
      <c r="G167" s="1" t="s">
        <v>77</v>
      </c>
      <c r="H167" s="1" t="s">
        <v>77</v>
      </c>
      <c r="I167" s="1" t="s">
        <v>77</v>
      </c>
      <c r="J167" s="1" t="s">
        <v>77</v>
      </c>
      <c r="K167" s="1" t="s">
        <v>77</v>
      </c>
      <c r="L167">
        <v>20220716095546</v>
      </c>
      <c r="M167" s="1" t="s">
        <v>294</v>
      </c>
      <c r="N167" s="1" t="s">
        <v>101</v>
      </c>
      <c r="O167">
        <v>7</v>
      </c>
      <c r="P167" s="3">
        <v>44758</v>
      </c>
      <c r="Q167">
        <v>28</v>
      </c>
    </row>
    <row r="168" spans="1:17" x14ac:dyDescent="0.3">
      <c r="A168" s="1" t="s">
        <v>293</v>
      </c>
      <c r="B168" s="2">
        <v>44758.413888888892</v>
      </c>
      <c r="C168" s="1" t="s">
        <v>37</v>
      </c>
      <c r="D168" s="1" t="s">
        <v>53</v>
      </c>
      <c r="E168" s="1" t="s">
        <v>54</v>
      </c>
      <c r="F168" s="1" t="s">
        <v>77</v>
      </c>
      <c r="G168" s="1" t="s">
        <v>77</v>
      </c>
      <c r="H168" s="1" t="s">
        <v>77</v>
      </c>
      <c r="I168" s="1" t="s">
        <v>77</v>
      </c>
      <c r="J168" s="1" t="s">
        <v>77</v>
      </c>
      <c r="K168" s="1" t="s">
        <v>77</v>
      </c>
      <c r="L168">
        <v>20220716095558</v>
      </c>
      <c r="M168" s="1" t="s">
        <v>295</v>
      </c>
      <c r="N168" s="1" t="s">
        <v>101</v>
      </c>
      <c r="O168">
        <v>7</v>
      </c>
      <c r="P168" s="3">
        <v>44758</v>
      </c>
      <c r="Q168">
        <v>28</v>
      </c>
    </row>
    <row r="169" spans="1:17" x14ac:dyDescent="0.3">
      <c r="A169" s="1" t="s">
        <v>296</v>
      </c>
      <c r="B169" s="2">
        <v>44758.413888888892</v>
      </c>
      <c r="C169" s="1" t="s">
        <v>37</v>
      </c>
      <c r="D169" s="1" t="s">
        <v>60</v>
      </c>
      <c r="E169" s="1" t="s">
        <v>61</v>
      </c>
      <c r="F169" s="1" t="s">
        <v>77</v>
      </c>
      <c r="G169" s="1" t="s">
        <v>77</v>
      </c>
      <c r="H169" s="1" t="s">
        <v>77</v>
      </c>
      <c r="I169" s="1" t="s">
        <v>77</v>
      </c>
      <c r="J169" s="1" t="s">
        <v>77</v>
      </c>
      <c r="K169" s="1" t="s">
        <v>77</v>
      </c>
      <c r="L169">
        <v>20220716095607</v>
      </c>
      <c r="M169" s="1" t="s">
        <v>297</v>
      </c>
      <c r="N169" s="1" t="s">
        <v>101</v>
      </c>
      <c r="O169">
        <v>7</v>
      </c>
      <c r="P169" s="3">
        <v>44758</v>
      </c>
      <c r="Q169">
        <v>28</v>
      </c>
    </row>
    <row r="170" spans="1:17" x14ac:dyDescent="0.3">
      <c r="A170" s="1" t="s">
        <v>296</v>
      </c>
      <c r="B170" s="2">
        <v>44758.413888888892</v>
      </c>
      <c r="C170" s="1" t="s">
        <v>37</v>
      </c>
      <c r="D170" s="1" t="s">
        <v>38</v>
      </c>
      <c r="E170" s="1" t="s">
        <v>39</v>
      </c>
      <c r="F170" s="1" t="s">
        <v>77</v>
      </c>
      <c r="G170" s="1" t="s">
        <v>77</v>
      </c>
      <c r="H170" s="1" t="s">
        <v>77</v>
      </c>
      <c r="I170" s="1" t="s">
        <v>77</v>
      </c>
      <c r="J170" s="1" t="s">
        <v>77</v>
      </c>
      <c r="K170" s="1" t="s">
        <v>77</v>
      </c>
      <c r="L170">
        <v>20220716095615</v>
      </c>
      <c r="M170" s="1" t="s">
        <v>298</v>
      </c>
      <c r="N170" s="1" t="s">
        <v>101</v>
      </c>
      <c r="O170">
        <v>7</v>
      </c>
      <c r="P170" s="3">
        <v>44758</v>
      </c>
      <c r="Q170">
        <v>28</v>
      </c>
    </row>
    <row r="171" spans="1:17" x14ac:dyDescent="0.3">
      <c r="A171" s="1" t="s">
        <v>296</v>
      </c>
      <c r="B171" s="2">
        <v>44758.414583333331</v>
      </c>
      <c r="C171" s="1" t="s">
        <v>18</v>
      </c>
      <c r="D171" s="1" t="s">
        <v>53</v>
      </c>
      <c r="E171" s="1" t="s">
        <v>77</v>
      </c>
      <c r="F171" s="1" t="s">
        <v>77</v>
      </c>
      <c r="G171" s="1" t="s">
        <v>77</v>
      </c>
      <c r="H171" s="1" t="s">
        <v>77</v>
      </c>
      <c r="I171" s="1" t="s">
        <v>77</v>
      </c>
      <c r="J171" s="1" t="s">
        <v>56</v>
      </c>
      <c r="K171" s="1" t="s">
        <v>197</v>
      </c>
      <c r="L171">
        <v>20220716095653</v>
      </c>
      <c r="M171" s="1" t="s">
        <v>299</v>
      </c>
      <c r="N171" s="1" t="s">
        <v>101</v>
      </c>
      <c r="O171">
        <v>7</v>
      </c>
      <c r="P171" s="3">
        <v>44758</v>
      </c>
      <c r="Q171">
        <v>28</v>
      </c>
    </row>
    <row r="172" spans="1:17" x14ac:dyDescent="0.3">
      <c r="A172" s="1" t="s">
        <v>300</v>
      </c>
      <c r="B172" s="2">
        <v>44758.414583333331</v>
      </c>
      <c r="C172" s="1" t="s">
        <v>18</v>
      </c>
      <c r="D172" s="1" t="s">
        <v>29</v>
      </c>
      <c r="E172" s="1" t="s">
        <v>77</v>
      </c>
      <c r="F172" s="1" t="s">
        <v>77</v>
      </c>
      <c r="G172" s="1" t="s">
        <v>77</v>
      </c>
      <c r="H172" s="1" t="s">
        <v>77</v>
      </c>
      <c r="I172" s="1" t="s">
        <v>77</v>
      </c>
      <c r="J172" s="1" t="s">
        <v>34</v>
      </c>
      <c r="K172" s="1" t="s">
        <v>171</v>
      </c>
      <c r="L172">
        <v>20220716095712</v>
      </c>
      <c r="M172" s="1" t="s">
        <v>301</v>
      </c>
      <c r="N172" s="1" t="s">
        <v>101</v>
      </c>
      <c r="O172">
        <v>7</v>
      </c>
      <c r="P172" s="3">
        <v>44758</v>
      </c>
      <c r="Q172">
        <v>28</v>
      </c>
    </row>
    <row r="173" spans="1:17" x14ac:dyDescent="0.3">
      <c r="A173" s="1" t="s">
        <v>300</v>
      </c>
      <c r="B173" s="2">
        <v>44758.414583333331</v>
      </c>
      <c r="C173" s="1" t="s">
        <v>18</v>
      </c>
      <c r="D173" s="1" t="s">
        <v>29</v>
      </c>
      <c r="E173" s="1" t="s">
        <v>77</v>
      </c>
      <c r="F173" s="1" t="s">
        <v>77</v>
      </c>
      <c r="G173" s="1" t="s">
        <v>77</v>
      </c>
      <c r="H173" s="1" t="s">
        <v>77</v>
      </c>
      <c r="I173" s="1" t="s">
        <v>77</v>
      </c>
      <c r="J173" s="1" t="s">
        <v>30</v>
      </c>
      <c r="K173" s="1" t="s">
        <v>302</v>
      </c>
      <c r="L173">
        <v>20220716095723</v>
      </c>
      <c r="M173" s="1" t="s">
        <v>303</v>
      </c>
      <c r="N173" s="1" t="s">
        <v>101</v>
      </c>
      <c r="O173">
        <v>7</v>
      </c>
      <c r="P173" s="3">
        <v>44758</v>
      </c>
      <c r="Q173">
        <v>28</v>
      </c>
    </row>
    <row r="174" spans="1:17" x14ac:dyDescent="0.3">
      <c r="A174" s="1" t="s">
        <v>300</v>
      </c>
      <c r="B174" s="2">
        <v>44758.414583333331</v>
      </c>
      <c r="C174" s="1" t="s">
        <v>18</v>
      </c>
      <c r="D174" s="1" t="s">
        <v>19</v>
      </c>
      <c r="E174" s="1" t="s">
        <v>77</v>
      </c>
      <c r="F174" s="1" t="s">
        <v>77</v>
      </c>
      <c r="G174" s="1" t="s">
        <v>77</v>
      </c>
      <c r="H174" s="1" t="s">
        <v>77</v>
      </c>
      <c r="I174" s="1" t="s">
        <v>77</v>
      </c>
      <c r="J174" s="1" t="s">
        <v>58</v>
      </c>
      <c r="K174" s="1" t="s">
        <v>304</v>
      </c>
      <c r="L174">
        <v>20220716095743</v>
      </c>
      <c r="M174" s="1" t="s">
        <v>305</v>
      </c>
      <c r="N174" s="1" t="s">
        <v>101</v>
      </c>
      <c r="O174">
        <v>7</v>
      </c>
      <c r="P174" s="3">
        <v>44758</v>
      </c>
      <c r="Q174">
        <v>28</v>
      </c>
    </row>
    <row r="175" spans="1:17" x14ac:dyDescent="0.3">
      <c r="A175" s="1" t="s">
        <v>306</v>
      </c>
      <c r="B175" s="2">
        <v>44758.415277777778</v>
      </c>
      <c r="C175" s="1" t="s">
        <v>18</v>
      </c>
      <c r="D175" s="1" t="s">
        <v>195</v>
      </c>
      <c r="E175" s="1" t="s">
        <v>77</v>
      </c>
      <c r="F175" s="1" t="s">
        <v>77</v>
      </c>
      <c r="G175" s="1" t="s">
        <v>77</v>
      </c>
      <c r="H175" s="1" t="s">
        <v>77</v>
      </c>
      <c r="I175" s="1" t="s">
        <v>77</v>
      </c>
      <c r="J175" s="1" t="s">
        <v>21</v>
      </c>
      <c r="K175" s="1" t="s">
        <v>307</v>
      </c>
      <c r="L175">
        <v>20220716095800</v>
      </c>
      <c r="M175" s="1" t="s">
        <v>308</v>
      </c>
      <c r="N175" s="1" t="s">
        <v>101</v>
      </c>
      <c r="O175">
        <v>7</v>
      </c>
      <c r="P175" s="3">
        <v>44758</v>
      </c>
      <c r="Q175">
        <v>28</v>
      </c>
    </row>
    <row r="176" spans="1:17" x14ac:dyDescent="0.3">
      <c r="A176" s="1" t="s">
        <v>306</v>
      </c>
      <c r="B176" s="2">
        <v>44758.415277777778</v>
      </c>
      <c r="C176" s="1" t="s">
        <v>18</v>
      </c>
      <c r="D176" s="1" t="s">
        <v>26</v>
      </c>
      <c r="E176" s="1" t="s">
        <v>77</v>
      </c>
      <c r="F176" s="1" t="s">
        <v>77</v>
      </c>
      <c r="G176" s="1" t="s">
        <v>77</v>
      </c>
      <c r="H176" s="1" t="s">
        <v>77</v>
      </c>
      <c r="I176" s="1" t="s">
        <v>77</v>
      </c>
      <c r="J176" s="1" t="s">
        <v>27</v>
      </c>
      <c r="K176" s="1" t="s">
        <v>309</v>
      </c>
      <c r="L176">
        <v>20220716095830</v>
      </c>
      <c r="M176" s="1" t="s">
        <v>310</v>
      </c>
      <c r="N176" s="1" t="s">
        <v>101</v>
      </c>
      <c r="O176">
        <v>7</v>
      </c>
      <c r="P176" s="3">
        <v>44758</v>
      </c>
      <c r="Q176">
        <v>28</v>
      </c>
    </row>
    <row r="177" spans="1:17" x14ac:dyDescent="0.3">
      <c r="A177" s="1" t="s">
        <v>311</v>
      </c>
      <c r="B177" s="2">
        <v>44758.415972222225</v>
      </c>
      <c r="C177" s="1" t="s">
        <v>168</v>
      </c>
      <c r="D177" s="1" t="s">
        <v>47</v>
      </c>
      <c r="E177" s="1" t="s">
        <v>77</v>
      </c>
      <c r="F177" s="1" t="s">
        <v>48</v>
      </c>
      <c r="G177" s="1" t="s">
        <v>312</v>
      </c>
      <c r="H177" s="1" t="s">
        <v>77</v>
      </c>
      <c r="I177" s="1" t="s">
        <v>77</v>
      </c>
      <c r="J177" s="1" t="s">
        <v>77</v>
      </c>
      <c r="K177" s="1" t="s">
        <v>77</v>
      </c>
      <c r="L177">
        <v>20220716095907</v>
      </c>
      <c r="M177" s="1" t="s">
        <v>313</v>
      </c>
      <c r="N177" s="1" t="s">
        <v>101</v>
      </c>
      <c r="O177">
        <v>7</v>
      </c>
      <c r="P177" s="3">
        <v>44758</v>
      </c>
      <c r="Q177">
        <v>28</v>
      </c>
    </row>
    <row r="178" spans="1:17" x14ac:dyDescent="0.3">
      <c r="A178" s="1" t="s">
        <v>311</v>
      </c>
      <c r="B178" s="2">
        <v>44758.415972222225</v>
      </c>
      <c r="C178" s="1" t="s">
        <v>37</v>
      </c>
      <c r="D178" s="1" t="s">
        <v>41</v>
      </c>
      <c r="E178" s="1" t="s">
        <v>42</v>
      </c>
      <c r="F178" s="1" t="s">
        <v>77</v>
      </c>
      <c r="G178" s="1" t="s">
        <v>77</v>
      </c>
      <c r="H178" s="1" t="s">
        <v>77</v>
      </c>
      <c r="I178" s="1" t="s">
        <v>77</v>
      </c>
      <c r="J178" s="1" t="s">
        <v>20</v>
      </c>
      <c r="K178" s="1" t="s">
        <v>20</v>
      </c>
      <c r="L178">
        <v>20220716095929</v>
      </c>
      <c r="M178" s="1" t="s">
        <v>314</v>
      </c>
      <c r="N178" s="1" t="s">
        <v>101</v>
      </c>
      <c r="O178">
        <v>7</v>
      </c>
      <c r="P178" s="3">
        <v>44758</v>
      </c>
      <c r="Q178">
        <v>28</v>
      </c>
    </row>
    <row r="179" spans="1:17" x14ac:dyDescent="0.3">
      <c r="A179" s="1" t="s">
        <v>311</v>
      </c>
      <c r="B179" s="2">
        <v>44758.415972222225</v>
      </c>
      <c r="C179" s="1" t="s">
        <v>37</v>
      </c>
      <c r="D179" s="1" t="s">
        <v>44</v>
      </c>
      <c r="E179" s="1" t="s">
        <v>45</v>
      </c>
      <c r="F179" s="1" t="s">
        <v>77</v>
      </c>
      <c r="G179" s="1" t="s">
        <v>77</v>
      </c>
      <c r="H179" s="1" t="s">
        <v>77</v>
      </c>
      <c r="I179" s="1" t="s">
        <v>77</v>
      </c>
      <c r="J179" s="1" t="s">
        <v>77</v>
      </c>
      <c r="K179" s="1" t="s">
        <v>77</v>
      </c>
      <c r="L179">
        <v>20220716095938</v>
      </c>
      <c r="M179" s="1" t="s">
        <v>315</v>
      </c>
      <c r="N179" s="1" t="s">
        <v>101</v>
      </c>
      <c r="O179">
        <v>7</v>
      </c>
      <c r="P179" s="3">
        <v>44758</v>
      </c>
      <c r="Q179">
        <v>28</v>
      </c>
    </row>
    <row r="180" spans="1:17" x14ac:dyDescent="0.3">
      <c r="A180" s="1" t="s">
        <v>316</v>
      </c>
      <c r="B180" s="2">
        <v>44760.379166666666</v>
      </c>
      <c r="C180" s="1" t="s">
        <v>37</v>
      </c>
      <c r="D180" s="1" t="s">
        <v>19</v>
      </c>
      <c r="E180" s="1" t="s">
        <v>58</v>
      </c>
      <c r="F180" s="1" t="s">
        <v>77</v>
      </c>
      <c r="G180" s="1" t="s">
        <v>77</v>
      </c>
      <c r="H180" s="1" t="s">
        <v>77</v>
      </c>
      <c r="I180" s="1" t="s">
        <v>77</v>
      </c>
      <c r="J180" s="1" t="s">
        <v>77</v>
      </c>
      <c r="K180" s="1" t="s">
        <v>77</v>
      </c>
      <c r="L180">
        <v>20220718090629</v>
      </c>
      <c r="M180" s="1" t="s">
        <v>317</v>
      </c>
      <c r="N180" s="1" t="s">
        <v>120</v>
      </c>
      <c r="O180">
        <v>7</v>
      </c>
      <c r="P180" s="3">
        <v>44760</v>
      </c>
      <c r="Q180">
        <v>29</v>
      </c>
    </row>
    <row r="181" spans="1:17" x14ac:dyDescent="0.3">
      <c r="A181" s="1" t="s">
        <v>316</v>
      </c>
      <c r="B181" s="2">
        <v>44760.379166666666</v>
      </c>
      <c r="C181" s="1" t="s">
        <v>37</v>
      </c>
      <c r="D181" s="1" t="s">
        <v>29</v>
      </c>
      <c r="E181" s="1" t="s">
        <v>30</v>
      </c>
      <c r="F181" s="1" t="s">
        <v>77</v>
      </c>
      <c r="G181" s="1" t="s">
        <v>77</v>
      </c>
      <c r="H181" s="1" t="s">
        <v>77</v>
      </c>
      <c r="I181" s="1" t="s">
        <v>77</v>
      </c>
      <c r="J181" s="1" t="s">
        <v>77</v>
      </c>
      <c r="K181" s="1" t="s">
        <v>77</v>
      </c>
      <c r="L181">
        <v>20220718090637</v>
      </c>
      <c r="M181" s="1" t="s">
        <v>318</v>
      </c>
      <c r="N181" s="1" t="s">
        <v>120</v>
      </c>
      <c r="O181">
        <v>7</v>
      </c>
      <c r="P181" s="3">
        <v>44760</v>
      </c>
      <c r="Q181">
        <v>29</v>
      </c>
    </row>
    <row r="182" spans="1:17" x14ac:dyDescent="0.3">
      <c r="A182" s="1" t="s">
        <v>316</v>
      </c>
      <c r="B182" s="2">
        <v>44760.379166666666</v>
      </c>
      <c r="C182" s="1" t="s">
        <v>37</v>
      </c>
      <c r="D182" s="1" t="s">
        <v>47</v>
      </c>
      <c r="E182" s="1" t="s">
        <v>51</v>
      </c>
      <c r="F182" s="1" t="s">
        <v>77</v>
      </c>
      <c r="G182" s="1" t="s">
        <v>77</v>
      </c>
      <c r="H182" s="1" t="s">
        <v>77</v>
      </c>
      <c r="I182" s="1" t="s">
        <v>77</v>
      </c>
      <c r="J182" s="1" t="s">
        <v>77</v>
      </c>
      <c r="K182" s="1" t="s">
        <v>77</v>
      </c>
      <c r="L182">
        <v>20220718090646</v>
      </c>
      <c r="M182" s="1" t="s">
        <v>319</v>
      </c>
      <c r="N182" s="1" t="s">
        <v>120</v>
      </c>
      <c r="O182">
        <v>7</v>
      </c>
      <c r="P182" s="3">
        <v>44760</v>
      </c>
      <c r="Q182">
        <v>29</v>
      </c>
    </row>
    <row r="183" spans="1:17" x14ac:dyDescent="0.3">
      <c r="A183" s="1" t="s">
        <v>316</v>
      </c>
      <c r="B183" s="2">
        <v>44760.379166666666</v>
      </c>
      <c r="C183" s="1" t="s">
        <v>37</v>
      </c>
      <c r="D183" s="1" t="s">
        <v>53</v>
      </c>
      <c r="E183" s="1" t="s">
        <v>54</v>
      </c>
      <c r="F183" s="1" t="s">
        <v>77</v>
      </c>
      <c r="G183" s="1" t="s">
        <v>77</v>
      </c>
      <c r="H183" s="1" t="s">
        <v>77</v>
      </c>
      <c r="I183" s="1" t="s">
        <v>77</v>
      </c>
      <c r="J183" s="1" t="s">
        <v>77</v>
      </c>
      <c r="K183" s="1" t="s">
        <v>77</v>
      </c>
      <c r="L183">
        <v>20220718090654</v>
      </c>
      <c r="M183" s="1" t="s">
        <v>320</v>
      </c>
      <c r="N183" s="1" t="s">
        <v>120</v>
      </c>
      <c r="O183">
        <v>7</v>
      </c>
      <c r="P183" s="3">
        <v>44760</v>
      </c>
      <c r="Q183">
        <v>29</v>
      </c>
    </row>
    <row r="184" spans="1:17" x14ac:dyDescent="0.3">
      <c r="A184" s="1" t="s">
        <v>321</v>
      </c>
      <c r="B184" s="2">
        <v>44760.390972222223</v>
      </c>
      <c r="C184" s="1" t="s">
        <v>37</v>
      </c>
      <c r="D184" s="1" t="s">
        <v>60</v>
      </c>
      <c r="E184" s="1" t="s">
        <v>61</v>
      </c>
      <c r="F184" s="1" t="s">
        <v>77</v>
      </c>
      <c r="G184" s="1" t="s">
        <v>77</v>
      </c>
      <c r="H184" s="1" t="s">
        <v>77</v>
      </c>
      <c r="I184" s="1" t="s">
        <v>77</v>
      </c>
      <c r="J184" s="1" t="s">
        <v>77</v>
      </c>
      <c r="K184" s="1" t="s">
        <v>77</v>
      </c>
      <c r="L184">
        <v>20220718092329</v>
      </c>
      <c r="M184" s="1" t="s">
        <v>322</v>
      </c>
      <c r="N184" s="1" t="s">
        <v>120</v>
      </c>
      <c r="O184">
        <v>7</v>
      </c>
      <c r="P184" s="3">
        <v>44760</v>
      </c>
      <c r="Q184">
        <v>29</v>
      </c>
    </row>
    <row r="185" spans="1:17" x14ac:dyDescent="0.3">
      <c r="A185" s="1" t="s">
        <v>321</v>
      </c>
      <c r="B185" s="2">
        <v>44760.39166666667</v>
      </c>
      <c r="C185" s="1" t="s">
        <v>37</v>
      </c>
      <c r="D185" s="1" t="s">
        <v>47</v>
      </c>
      <c r="E185" s="1" t="s">
        <v>48</v>
      </c>
      <c r="F185" s="1" t="s">
        <v>77</v>
      </c>
      <c r="G185" s="1" t="s">
        <v>77</v>
      </c>
      <c r="H185" s="1" t="s">
        <v>77</v>
      </c>
      <c r="I185" s="1" t="s">
        <v>77</v>
      </c>
      <c r="J185" s="1" t="s">
        <v>77</v>
      </c>
      <c r="K185" s="1" t="s">
        <v>77</v>
      </c>
      <c r="L185">
        <v>20220718092358</v>
      </c>
      <c r="M185" s="1" t="s">
        <v>323</v>
      </c>
      <c r="N185" s="1" t="s">
        <v>120</v>
      </c>
      <c r="O185">
        <v>7</v>
      </c>
      <c r="P185" s="3">
        <v>44760</v>
      </c>
      <c r="Q185">
        <v>29</v>
      </c>
    </row>
    <row r="186" spans="1:17" x14ac:dyDescent="0.3">
      <c r="A186" s="1" t="s">
        <v>324</v>
      </c>
      <c r="B186" s="2">
        <v>44760.404166666667</v>
      </c>
      <c r="C186" s="1" t="s">
        <v>37</v>
      </c>
      <c r="D186" s="1" t="s">
        <v>41</v>
      </c>
      <c r="E186" s="1" t="s">
        <v>42</v>
      </c>
      <c r="F186" s="1" t="s">
        <v>77</v>
      </c>
      <c r="G186" s="1" t="s">
        <v>77</v>
      </c>
      <c r="H186" s="1" t="s">
        <v>77</v>
      </c>
      <c r="I186" s="1" t="s">
        <v>77</v>
      </c>
      <c r="J186" s="1" t="s">
        <v>77</v>
      </c>
      <c r="K186" s="1" t="s">
        <v>77</v>
      </c>
      <c r="L186">
        <v>20220718094238</v>
      </c>
      <c r="M186" s="1" t="s">
        <v>325</v>
      </c>
      <c r="N186" s="1" t="s">
        <v>120</v>
      </c>
      <c r="O186">
        <v>7</v>
      </c>
      <c r="P186" s="3">
        <v>44760</v>
      </c>
      <c r="Q186">
        <v>29</v>
      </c>
    </row>
    <row r="187" spans="1:17" x14ac:dyDescent="0.3">
      <c r="A187" s="1" t="s">
        <v>326</v>
      </c>
      <c r="B187" s="2">
        <v>44760.406944444447</v>
      </c>
      <c r="C187" s="1" t="s">
        <v>37</v>
      </c>
      <c r="D187" s="1" t="s">
        <v>38</v>
      </c>
      <c r="E187" s="1" t="s">
        <v>39</v>
      </c>
      <c r="F187" s="1" t="s">
        <v>77</v>
      </c>
      <c r="G187" s="1" t="s">
        <v>77</v>
      </c>
      <c r="H187" s="1" t="s">
        <v>77</v>
      </c>
      <c r="I187" s="1" t="s">
        <v>77</v>
      </c>
      <c r="J187" s="1" t="s">
        <v>77</v>
      </c>
      <c r="K187" s="1" t="s">
        <v>77</v>
      </c>
      <c r="L187">
        <v>20220718094554</v>
      </c>
      <c r="M187" s="1" t="s">
        <v>327</v>
      </c>
      <c r="N187" s="1" t="s">
        <v>120</v>
      </c>
      <c r="O187">
        <v>7</v>
      </c>
      <c r="P187" s="3">
        <v>44760</v>
      </c>
      <c r="Q187">
        <v>29</v>
      </c>
    </row>
    <row r="188" spans="1:17" x14ac:dyDescent="0.3">
      <c r="A188" s="1" t="s">
        <v>328</v>
      </c>
      <c r="B188" s="2">
        <v>44760.421527777777</v>
      </c>
      <c r="C188" s="1" t="s">
        <v>37</v>
      </c>
      <c r="D188" s="1" t="s">
        <v>53</v>
      </c>
      <c r="E188" s="1" t="s">
        <v>56</v>
      </c>
      <c r="F188" s="1" t="s">
        <v>77</v>
      </c>
      <c r="G188" s="1" t="s">
        <v>77</v>
      </c>
      <c r="H188" s="1" t="s">
        <v>77</v>
      </c>
      <c r="I188" s="1" t="s">
        <v>77</v>
      </c>
      <c r="J188" s="1" t="s">
        <v>77</v>
      </c>
      <c r="K188" s="1" t="s">
        <v>77</v>
      </c>
      <c r="L188">
        <v>20220718100656</v>
      </c>
      <c r="M188" s="1" t="s">
        <v>329</v>
      </c>
      <c r="N188" s="1" t="s">
        <v>120</v>
      </c>
      <c r="O188">
        <v>7</v>
      </c>
      <c r="P188" s="3">
        <v>44760</v>
      </c>
      <c r="Q188">
        <v>29</v>
      </c>
    </row>
    <row r="189" spans="1:17" x14ac:dyDescent="0.3">
      <c r="A189" s="1" t="s">
        <v>330</v>
      </c>
      <c r="B189" s="2">
        <v>44760.421527777777</v>
      </c>
      <c r="C189" s="1" t="s">
        <v>18</v>
      </c>
      <c r="D189" s="1" t="s">
        <v>195</v>
      </c>
      <c r="E189" s="1" t="s">
        <v>77</v>
      </c>
      <c r="F189" s="1" t="s">
        <v>77</v>
      </c>
      <c r="G189" s="1" t="s">
        <v>77</v>
      </c>
      <c r="H189" s="1" t="s">
        <v>77</v>
      </c>
      <c r="I189" s="1" t="s">
        <v>77</v>
      </c>
      <c r="J189" s="1" t="s">
        <v>21</v>
      </c>
      <c r="K189" s="1" t="s">
        <v>331</v>
      </c>
      <c r="L189">
        <v>20220718100727</v>
      </c>
      <c r="M189" s="1" t="s">
        <v>332</v>
      </c>
      <c r="N189" s="1" t="s">
        <v>120</v>
      </c>
      <c r="O189">
        <v>7</v>
      </c>
      <c r="P189" s="3">
        <v>44760</v>
      </c>
      <c r="Q189">
        <v>29</v>
      </c>
    </row>
    <row r="190" spans="1:17" x14ac:dyDescent="0.3">
      <c r="A190" s="1" t="s">
        <v>333</v>
      </c>
      <c r="B190" s="2">
        <v>44760.477083333331</v>
      </c>
      <c r="C190" s="1" t="s">
        <v>18</v>
      </c>
      <c r="D190" s="1" t="s">
        <v>29</v>
      </c>
      <c r="E190" s="1" t="s">
        <v>77</v>
      </c>
      <c r="F190" s="1" t="s">
        <v>77</v>
      </c>
      <c r="G190" s="1" t="s">
        <v>77</v>
      </c>
      <c r="H190" s="1" t="s">
        <v>77</v>
      </c>
      <c r="I190" s="1" t="s">
        <v>77</v>
      </c>
      <c r="J190" s="1" t="s">
        <v>34</v>
      </c>
      <c r="K190" s="1" t="s">
        <v>171</v>
      </c>
      <c r="L190">
        <v>20220718112651</v>
      </c>
      <c r="M190" s="1" t="s">
        <v>334</v>
      </c>
      <c r="N190" s="1" t="s">
        <v>120</v>
      </c>
      <c r="O190">
        <v>7</v>
      </c>
      <c r="P190" s="3">
        <v>44760</v>
      </c>
      <c r="Q190">
        <v>29</v>
      </c>
    </row>
    <row r="191" spans="1:17" x14ac:dyDescent="0.3">
      <c r="A191" s="1" t="s">
        <v>335</v>
      </c>
      <c r="B191" s="2">
        <v>44760.480555555558</v>
      </c>
      <c r="C191" s="1" t="s">
        <v>37</v>
      </c>
      <c r="D191" s="1" t="s">
        <v>44</v>
      </c>
      <c r="E191" s="1" t="s">
        <v>45</v>
      </c>
      <c r="F191" s="1" t="s">
        <v>77</v>
      </c>
      <c r="G191" s="1" t="s">
        <v>77</v>
      </c>
      <c r="H191" s="1" t="s">
        <v>77</v>
      </c>
      <c r="I191" s="1" t="s">
        <v>77</v>
      </c>
      <c r="J191" s="1" t="s">
        <v>77</v>
      </c>
      <c r="K191" s="1" t="s">
        <v>77</v>
      </c>
      <c r="L191">
        <v>20220718113222</v>
      </c>
      <c r="M191" s="1" t="s">
        <v>336</v>
      </c>
      <c r="N191" s="1" t="s">
        <v>120</v>
      </c>
      <c r="O191">
        <v>7</v>
      </c>
      <c r="P191" s="3">
        <v>44760</v>
      </c>
      <c r="Q191">
        <v>29</v>
      </c>
    </row>
    <row r="192" spans="1:17" x14ac:dyDescent="0.3">
      <c r="A192" s="1" t="s">
        <v>335</v>
      </c>
      <c r="B192" s="2">
        <v>44760.480555555558</v>
      </c>
      <c r="C192" s="1" t="s">
        <v>37</v>
      </c>
      <c r="D192" s="1" t="s">
        <v>26</v>
      </c>
      <c r="E192" s="1" t="s">
        <v>27</v>
      </c>
      <c r="F192" s="1" t="s">
        <v>77</v>
      </c>
      <c r="G192" s="1" t="s">
        <v>77</v>
      </c>
      <c r="H192" s="1" t="s">
        <v>77</v>
      </c>
      <c r="I192" s="1" t="s">
        <v>77</v>
      </c>
      <c r="J192" s="1" t="s">
        <v>20</v>
      </c>
      <c r="K192" s="1" t="s">
        <v>20</v>
      </c>
      <c r="L192">
        <v>20220718113238</v>
      </c>
      <c r="M192" s="1" t="s">
        <v>337</v>
      </c>
      <c r="N192" s="1" t="s">
        <v>120</v>
      </c>
      <c r="O192">
        <v>7</v>
      </c>
      <c r="P192" s="3">
        <v>44760</v>
      </c>
      <c r="Q192">
        <v>29</v>
      </c>
    </row>
    <row r="193" spans="1:17" x14ac:dyDescent="0.3">
      <c r="A193" s="1" t="s">
        <v>338</v>
      </c>
      <c r="B193" s="2">
        <v>44761.413888888892</v>
      </c>
      <c r="C193" s="1" t="s">
        <v>37</v>
      </c>
      <c r="D193" s="1" t="s">
        <v>60</v>
      </c>
      <c r="E193" s="1" t="s">
        <v>61</v>
      </c>
      <c r="F193" s="1" t="s">
        <v>77</v>
      </c>
      <c r="G193" s="1" t="s">
        <v>77</v>
      </c>
      <c r="H193" s="1" t="s">
        <v>77</v>
      </c>
      <c r="I193" s="1" t="s">
        <v>77</v>
      </c>
      <c r="J193" s="1" t="s">
        <v>77</v>
      </c>
      <c r="K193" s="1" t="s">
        <v>77</v>
      </c>
      <c r="L193">
        <v>20220719095640</v>
      </c>
      <c r="M193" s="1" t="s">
        <v>339</v>
      </c>
      <c r="N193" s="1" t="s">
        <v>140</v>
      </c>
      <c r="O193">
        <v>7</v>
      </c>
      <c r="P193" s="3">
        <v>44761</v>
      </c>
      <c r="Q193">
        <v>29</v>
      </c>
    </row>
    <row r="194" spans="1:17" x14ac:dyDescent="0.3">
      <c r="A194" s="1" t="s">
        <v>338</v>
      </c>
      <c r="B194" s="2">
        <v>44761.414583333331</v>
      </c>
      <c r="C194" s="1" t="s">
        <v>37</v>
      </c>
      <c r="D194" s="1" t="s">
        <v>19</v>
      </c>
      <c r="E194" s="1" t="s">
        <v>58</v>
      </c>
      <c r="F194" s="1" t="s">
        <v>77</v>
      </c>
      <c r="G194" s="1" t="s">
        <v>77</v>
      </c>
      <c r="H194" s="1" t="s">
        <v>77</v>
      </c>
      <c r="I194" s="1" t="s">
        <v>77</v>
      </c>
      <c r="J194" s="1" t="s">
        <v>77</v>
      </c>
      <c r="K194" s="1" t="s">
        <v>77</v>
      </c>
      <c r="L194">
        <v>20220719095654</v>
      </c>
      <c r="M194" s="1" t="s">
        <v>340</v>
      </c>
      <c r="N194" s="1" t="s">
        <v>140</v>
      </c>
      <c r="O194">
        <v>7</v>
      </c>
      <c r="P194" s="3">
        <v>44761</v>
      </c>
      <c r="Q194">
        <v>29</v>
      </c>
    </row>
    <row r="195" spans="1:17" x14ac:dyDescent="0.3">
      <c r="A195" s="1" t="s">
        <v>341</v>
      </c>
      <c r="B195" s="2">
        <v>44761.414583333331</v>
      </c>
      <c r="C195" s="1" t="s">
        <v>37</v>
      </c>
      <c r="D195" s="1" t="s">
        <v>47</v>
      </c>
      <c r="E195" s="1" t="s">
        <v>51</v>
      </c>
      <c r="F195" s="1" t="s">
        <v>77</v>
      </c>
      <c r="G195" s="1" t="s">
        <v>77</v>
      </c>
      <c r="H195" s="1" t="s">
        <v>77</v>
      </c>
      <c r="I195" s="1" t="s">
        <v>77</v>
      </c>
      <c r="J195" s="1" t="s">
        <v>77</v>
      </c>
      <c r="K195" s="1" t="s">
        <v>77</v>
      </c>
      <c r="L195">
        <v>20220719095705</v>
      </c>
      <c r="M195" s="1" t="s">
        <v>342</v>
      </c>
      <c r="N195" s="1" t="s">
        <v>140</v>
      </c>
      <c r="O195">
        <v>7</v>
      </c>
      <c r="P195" s="3">
        <v>44761</v>
      </c>
      <c r="Q195">
        <v>29</v>
      </c>
    </row>
    <row r="196" spans="1:17" x14ac:dyDescent="0.3">
      <c r="A196" s="1" t="s">
        <v>341</v>
      </c>
      <c r="B196" s="2">
        <v>44761.414583333331</v>
      </c>
      <c r="C196" s="1" t="s">
        <v>37</v>
      </c>
      <c r="D196" s="1" t="s">
        <v>41</v>
      </c>
      <c r="E196" s="1" t="s">
        <v>42</v>
      </c>
      <c r="F196" s="1" t="s">
        <v>77</v>
      </c>
      <c r="G196" s="1" t="s">
        <v>77</v>
      </c>
      <c r="H196" s="1" t="s">
        <v>77</v>
      </c>
      <c r="I196" s="1" t="s">
        <v>77</v>
      </c>
      <c r="J196" s="1" t="s">
        <v>77</v>
      </c>
      <c r="K196" s="1" t="s">
        <v>77</v>
      </c>
      <c r="L196">
        <v>20220719095714</v>
      </c>
      <c r="M196" s="1" t="s">
        <v>343</v>
      </c>
      <c r="N196" s="1" t="s">
        <v>140</v>
      </c>
      <c r="O196">
        <v>7</v>
      </c>
      <c r="P196" s="3">
        <v>44761</v>
      </c>
      <c r="Q196">
        <v>29</v>
      </c>
    </row>
    <row r="197" spans="1:17" x14ac:dyDescent="0.3">
      <c r="A197" s="1" t="s">
        <v>341</v>
      </c>
      <c r="B197" s="2">
        <v>44761.415277777778</v>
      </c>
      <c r="C197" s="1" t="s">
        <v>37</v>
      </c>
      <c r="D197" s="1" t="s">
        <v>53</v>
      </c>
      <c r="E197" s="1" t="s">
        <v>54</v>
      </c>
      <c r="F197" s="1" t="s">
        <v>77</v>
      </c>
      <c r="G197" s="1" t="s">
        <v>77</v>
      </c>
      <c r="H197" s="1" t="s">
        <v>77</v>
      </c>
      <c r="I197" s="1" t="s">
        <v>77</v>
      </c>
      <c r="J197" s="1" t="s">
        <v>77</v>
      </c>
      <c r="K197" s="1" t="s">
        <v>77</v>
      </c>
      <c r="L197">
        <v>20220719095738</v>
      </c>
      <c r="M197" s="1" t="s">
        <v>344</v>
      </c>
      <c r="N197" s="1" t="s">
        <v>140</v>
      </c>
      <c r="O197">
        <v>7</v>
      </c>
      <c r="P197" s="3">
        <v>44761</v>
      </c>
      <c r="Q197">
        <v>29</v>
      </c>
    </row>
    <row r="198" spans="1:17" x14ac:dyDescent="0.3">
      <c r="A198" s="1" t="s">
        <v>345</v>
      </c>
      <c r="B198" s="2">
        <v>44761.415277777778</v>
      </c>
      <c r="C198" s="1" t="s">
        <v>37</v>
      </c>
      <c r="D198" s="1" t="s">
        <v>29</v>
      </c>
      <c r="E198" s="1" t="s">
        <v>30</v>
      </c>
      <c r="F198" s="1" t="s">
        <v>77</v>
      </c>
      <c r="G198" s="1" t="s">
        <v>77</v>
      </c>
      <c r="H198" s="1" t="s">
        <v>77</v>
      </c>
      <c r="I198" s="1" t="s">
        <v>77</v>
      </c>
      <c r="J198" s="1" t="s">
        <v>77</v>
      </c>
      <c r="K198" s="1" t="s">
        <v>77</v>
      </c>
      <c r="L198">
        <v>20220719095812</v>
      </c>
      <c r="M198" s="1" t="s">
        <v>346</v>
      </c>
      <c r="N198" s="1" t="s">
        <v>140</v>
      </c>
      <c r="O198">
        <v>7</v>
      </c>
      <c r="P198" s="3">
        <v>44761</v>
      </c>
      <c r="Q198">
        <v>29</v>
      </c>
    </row>
    <row r="199" spans="1:17" x14ac:dyDescent="0.3">
      <c r="A199" s="1" t="s">
        <v>345</v>
      </c>
      <c r="B199" s="2">
        <v>44761.415277777778</v>
      </c>
      <c r="C199" s="1" t="s">
        <v>37</v>
      </c>
      <c r="D199" s="1" t="s">
        <v>47</v>
      </c>
      <c r="E199" s="1" t="s">
        <v>48</v>
      </c>
      <c r="F199" s="1" t="s">
        <v>77</v>
      </c>
      <c r="G199" s="1" t="s">
        <v>77</v>
      </c>
      <c r="H199" s="1" t="s">
        <v>77</v>
      </c>
      <c r="I199" s="1" t="s">
        <v>77</v>
      </c>
      <c r="J199" s="1" t="s">
        <v>77</v>
      </c>
      <c r="K199" s="1" t="s">
        <v>77</v>
      </c>
      <c r="L199">
        <v>20220719095822</v>
      </c>
      <c r="M199" s="1" t="s">
        <v>347</v>
      </c>
      <c r="N199" s="1" t="s">
        <v>140</v>
      </c>
      <c r="O199">
        <v>7</v>
      </c>
      <c r="P199" s="3">
        <v>44761</v>
      </c>
      <c r="Q199">
        <v>29</v>
      </c>
    </row>
    <row r="200" spans="1:17" x14ac:dyDescent="0.3">
      <c r="A200" s="1" t="s">
        <v>345</v>
      </c>
      <c r="B200" s="2">
        <v>44761.415277777778</v>
      </c>
      <c r="C200" s="1" t="s">
        <v>37</v>
      </c>
      <c r="D200" s="1" t="s">
        <v>44</v>
      </c>
      <c r="E200" s="1" t="s">
        <v>45</v>
      </c>
      <c r="F200" s="1" t="s">
        <v>77</v>
      </c>
      <c r="G200" s="1" t="s">
        <v>77</v>
      </c>
      <c r="H200" s="1" t="s">
        <v>77</v>
      </c>
      <c r="I200" s="1" t="s">
        <v>77</v>
      </c>
      <c r="J200" s="1" t="s">
        <v>77</v>
      </c>
      <c r="K200" s="1" t="s">
        <v>77</v>
      </c>
      <c r="L200">
        <v>20220719095833</v>
      </c>
      <c r="M200" s="1" t="s">
        <v>348</v>
      </c>
      <c r="N200" s="1" t="s">
        <v>140</v>
      </c>
      <c r="O200">
        <v>7</v>
      </c>
      <c r="P200" s="3">
        <v>44761</v>
      </c>
      <c r="Q200">
        <v>29</v>
      </c>
    </row>
    <row r="201" spans="1:17" x14ac:dyDescent="0.3">
      <c r="A201" s="1" t="s">
        <v>349</v>
      </c>
      <c r="B201" s="2">
        <v>44761.42083333333</v>
      </c>
      <c r="C201" s="1" t="s">
        <v>37</v>
      </c>
      <c r="D201" s="1" t="s">
        <v>38</v>
      </c>
      <c r="E201" s="1" t="s">
        <v>39</v>
      </c>
      <c r="F201" s="1" t="s">
        <v>77</v>
      </c>
      <c r="G201" s="1" t="s">
        <v>77</v>
      </c>
      <c r="H201" s="1" t="s">
        <v>77</v>
      </c>
      <c r="I201" s="1" t="s">
        <v>77</v>
      </c>
      <c r="J201" s="1" t="s">
        <v>77</v>
      </c>
      <c r="K201" s="1" t="s">
        <v>77</v>
      </c>
      <c r="L201">
        <v>20220719100649</v>
      </c>
      <c r="M201" s="1" t="s">
        <v>350</v>
      </c>
      <c r="N201" s="1" t="s">
        <v>140</v>
      </c>
      <c r="O201">
        <v>7</v>
      </c>
      <c r="P201" s="3">
        <v>44761</v>
      </c>
      <c r="Q201">
        <v>29</v>
      </c>
    </row>
    <row r="202" spans="1:17" x14ac:dyDescent="0.3">
      <c r="A202" s="1" t="s">
        <v>351</v>
      </c>
      <c r="B202" s="2">
        <v>44761.424305555556</v>
      </c>
      <c r="C202" s="1" t="s">
        <v>18</v>
      </c>
      <c r="D202" s="1" t="s">
        <v>29</v>
      </c>
      <c r="E202" s="1" t="s">
        <v>77</v>
      </c>
      <c r="F202" s="1" t="s">
        <v>77</v>
      </c>
      <c r="G202" s="1" t="s">
        <v>77</v>
      </c>
      <c r="H202" s="1" t="s">
        <v>77</v>
      </c>
      <c r="I202" s="1" t="s">
        <v>77</v>
      </c>
      <c r="J202" s="1" t="s">
        <v>34</v>
      </c>
      <c r="K202" s="1" t="s">
        <v>171</v>
      </c>
      <c r="L202">
        <v>20220719101130</v>
      </c>
      <c r="M202" s="1" t="s">
        <v>352</v>
      </c>
      <c r="N202" s="1" t="s">
        <v>140</v>
      </c>
      <c r="O202">
        <v>7</v>
      </c>
      <c r="P202" s="3">
        <v>44761</v>
      </c>
      <c r="Q202">
        <v>29</v>
      </c>
    </row>
    <row r="203" spans="1:17" x14ac:dyDescent="0.3">
      <c r="A203" s="1" t="s">
        <v>351</v>
      </c>
      <c r="B203" s="2">
        <v>44761.425000000003</v>
      </c>
      <c r="C203" s="1" t="s">
        <v>18</v>
      </c>
      <c r="D203" s="1" t="s">
        <v>195</v>
      </c>
      <c r="E203" s="1" t="s">
        <v>77</v>
      </c>
      <c r="F203" s="1" t="s">
        <v>77</v>
      </c>
      <c r="G203" s="1" t="s">
        <v>77</v>
      </c>
      <c r="H203" s="1" t="s">
        <v>77</v>
      </c>
      <c r="I203" s="1" t="s">
        <v>77</v>
      </c>
      <c r="J203" s="1" t="s">
        <v>21</v>
      </c>
      <c r="K203" s="1" t="s">
        <v>22</v>
      </c>
      <c r="L203">
        <v>20220719101158</v>
      </c>
      <c r="M203" s="1" t="s">
        <v>353</v>
      </c>
      <c r="N203" s="1" t="s">
        <v>140</v>
      </c>
      <c r="O203">
        <v>7</v>
      </c>
      <c r="P203" s="3">
        <v>44761</v>
      </c>
      <c r="Q203">
        <v>29</v>
      </c>
    </row>
    <row r="204" spans="1:17" x14ac:dyDescent="0.3">
      <c r="A204" s="1" t="s">
        <v>354</v>
      </c>
      <c r="B204" s="2">
        <v>44761.425000000003</v>
      </c>
      <c r="C204" s="1" t="s">
        <v>37</v>
      </c>
      <c r="D204" s="1" t="s">
        <v>26</v>
      </c>
      <c r="E204" s="1" t="s">
        <v>27</v>
      </c>
      <c r="F204" s="1" t="s">
        <v>77</v>
      </c>
      <c r="G204" s="1" t="s">
        <v>77</v>
      </c>
      <c r="H204" s="1" t="s">
        <v>77</v>
      </c>
      <c r="I204" s="1" t="s">
        <v>77</v>
      </c>
      <c r="J204" s="1" t="s">
        <v>77</v>
      </c>
      <c r="K204" s="1" t="s">
        <v>77</v>
      </c>
      <c r="L204">
        <v>20220719101212</v>
      </c>
      <c r="M204" s="1" t="s">
        <v>355</v>
      </c>
      <c r="N204" s="1" t="s">
        <v>140</v>
      </c>
      <c r="O204">
        <v>7</v>
      </c>
      <c r="P204" s="3">
        <v>44761</v>
      </c>
      <c r="Q204">
        <v>29</v>
      </c>
    </row>
    <row r="205" spans="1:17" x14ac:dyDescent="0.3">
      <c r="A205" s="1" t="s">
        <v>354</v>
      </c>
      <c r="B205" s="2">
        <v>44761.425000000003</v>
      </c>
      <c r="C205" s="1" t="s">
        <v>18</v>
      </c>
      <c r="D205" s="1" t="s">
        <v>53</v>
      </c>
      <c r="E205" s="1" t="s">
        <v>77</v>
      </c>
      <c r="F205" s="1" t="s">
        <v>77</v>
      </c>
      <c r="G205" s="1" t="s">
        <v>77</v>
      </c>
      <c r="H205" s="1" t="s">
        <v>77</v>
      </c>
      <c r="I205" s="1" t="s">
        <v>77</v>
      </c>
      <c r="J205" s="1" t="s">
        <v>56</v>
      </c>
      <c r="K205" s="1" t="s">
        <v>197</v>
      </c>
      <c r="L205">
        <v>20220719101223</v>
      </c>
      <c r="M205" s="1" t="s">
        <v>356</v>
      </c>
      <c r="N205" s="1" t="s">
        <v>140</v>
      </c>
      <c r="O205">
        <v>7</v>
      </c>
      <c r="P205" s="3">
        <v>44761</v>
      </c>
      <c r="Q205">
        <v>29</v>
      </c>
    </row>
    <row r="206" spans="1:17" x14ac:dyDescent="0.3">
      <c r="A206" s="1" t="s">
        <v>357</v>
      </c>
      <c r="B206" s="2">
        <v>44762.40902777778</v>
      </c>
      <c r="C206" s="1" t="s">
        <v>37</v>
      </c>
      <c r="D206" s="1" t="s">
        <v>19</v>
      </c>
      <c r="E206" s="1" t="s">
        <v>58</v>
      </c>
      <c r="F206" s="1" t="s">
        <v>77</v>
      </c>
      <c r="G206" s="1" t="s">
        <v>77</v>
      </c>
      <c r="H206" s="1" t="s">
        <v>77</v>
      </c>
      <c r="I206" s="1" t="s">
        <v>77</v>
      </c>
      <c r="J206" s="1" t="s">
        <v>77</v>
      </c>
      <c r="K206" s="1" t="s">
        <v>77</v>
      </c>
      <c r="L206">
        <v>20220720094907</v>
      </c>
      <c r="M206" s="1" t="s">
        <v>358</v>
      </c>
      <c r="N206" s="1" t="s">
        <v>24</v>
      </c>
      <c r="O206">
        <v>7</v>
      </c>
      <c r="P206" s="3">
        <v>44762</v>
      </c>
      <c r="Q206">
        <v>29</v>
      </c>
    </row>
    <row r="207" spans="1:17" x14ac:dyDescent="0.3">
      <c r="A207" s="1" t="s">
        <v>357</v>
      </c>
      <c r="B207" s="2">
        <v>44762.40902777778</v>
      </c>
      <c r="C207" s="1" t="s">
        <v>37</v>
      </c>
      <c r="D207" s="1" t="s">
        <v>60</v>
      </c>
      <c r="E207" s="1" t="s">
        <v>61</v>
      </c>
      <c r="F207" s="1" t="s">
        <v>77</v>
      </c>
      <c r="G207" s="1" t="s">
        <v>77</v>
      </c>
      <c r="H207" s="1" t="s">
        <v>77</v>
      </c>
      <c r="I207" s="1" t="s">
        <v>77</v>
      </c>
      <c r="J207" s="1" t="s">
        <v>77</v>
      </c>
      <c r="K207" s="1" t="s">
        <v>77</v>
      </c>
      <c r="L207">
        <v>20220720094917</v>
      </c>
      <c r="M207" s="1" t="s">
        <v>359</v>
      </c>
      <c r="N207" s="1" t="s">
        <v>24</v>
      </c>
      <c r="O207">
        <v>7</v>
      </c>
      <c r="P207" s="3">
        <v>44762</v>
      </c>
      <c r="Q207">
        <v>29</v>
      </c>
    </row>
    <row r="208" spans="1:17" x14ac:dyDescent="0.3">
      <c r="A208" s="1" t="s">
        <v>357</v>
      </c>
      <c r="B208" s="2">
        <v>44762.40902777778</v>
      </c>
      <c r="C208" s="1" t="s">
        <v>37</v>
      </c>
      <c r="D208" s="1" t="s">
        <v>53</v>
      </c>
      <c r="E208" s="1" t="s">
        <v>54</v>
      </c>
      <c r="F208" s="1" t="s">
        <v>77</v>
      </c>
      <c r="G208" s="1" t="s">
        <v>77</v>
      </c>
      <c r="H208" s="1" t="s">
        <v>77</v>
      </c>
      <c r="I208" s="1" t="s">
        <v>77</v>
      </c>
      <c r="J208" s="1" t="s">
        <v>77</v>
      </c>
      <c r="K208" s="1" t="s">
        <v>77</v>
      </c>
      <c r="L208">
        <v>20220720094927</v>
      </c>
      <c r="M208" s="1" t="s">
        <v>360</v>
      </c>
      <c r="N208" s="1" t="s">
        <v>24</v>
      </c>
      <c r="O208">
        <v>7</v>
      </c>
      <c r="P208" s="3">
        <v>44762</v>
      </c>
      <c r="Q208">
        <v>29</v>
      </c>
    </row>
    <row r="209" spans="1:17" x14ac:dyDescent="0.3">
      <c r="A209" s="1" t="s">
        <v>357</v>
      </c>
      <c r="B209" s="2">
        <v>44762.40902777778</v>
      </c>
      <c r="C209" s="1" t="s">
        <v>37</v>
      </c>
      <c r="D209" s="1" t="s">
        <v>47</v>
      </c>
      <c r="E209" s="1" t="s">
        <v>51</v>
      </c>
      <c r="F209" s="1" t="s">
        <v>77</v>
      </c>
      <c r="G209" s="1" t="s">
        <v>77</v>
      </c>
      <c r="H209" s="1" t="s">
        <v>77</v>
      </c>
      <c r="I209" s="1" t="s">
        <v>77</v>
      </c>
      <c r="J209" s="1" t="s">
        <v>77</v>
      </c>
      <c r="K209" s="1" t="s">
        <v>77</v>
      </c>
      <c r="L209">
        <v>20220720094936</v>
      </c>
      <c r="M209" s="1" t="s">
        <v>361</v>
      </c>
      <c r="N209" s="1" t="s">
        <v>24</v>
      </c>
      <c r="O209">
        <v>7</v>
      </c>
      <c r="P209" s="3">
        <v>44762</v>
      </c>
      <c r="Q209">
        <v>29</v>
      </c>
    </row>
    <row r="210" spans="1:17" x14ac:dyDescent="0.3">
      <c r="A210" s="1" t="s">
        <v>357</v>
      </c>
      <c r="B210" s="2">
        <v>44762.40902777778</v>
      </c>
      <c r="C210" s="1" t="s">
        <v>37</v>
      </c>
      <c r="D210" s="1" t="s">
        <v>47</v>
      </c>
      <c r="E210" s="1" t="s">
        <v>48</v>
      </c>
      <c r="F210" s="1" t="s">
        <v>77</v>
      </c>
      <c r="G210" s="1" t="s">
        <v>77</v>
      </c>
      <c r="H210" s="1" t="s">
        <v>77</v>
      </c>
      <c r="I210" s="1" t="s">
        <v>77</v>
      </c>
      <c r="J210" s="1" t="s">
        <v>77</v>
      </c>
      <c r="K210" s="1" t="s">
        <v>77</v>
      </c>
      <c r="L210">
        <v>20220720094946</v>
      </c>
      <c r="M210" s="1" t="s">
        <v>362</v>
      </c>
      <c r="N210" s="1" t="s">
        <v>24</v>
      </c>
      <c r="O210">
        <v>7</v>
      </c>
      <c r="P210" s="3">
        <v>44762</v>
      </c>
      <c r="Q210">
        <v>29</v>
      </c>
    </row>
    <row r="211" spans="1:17" x14ac:dyDescent="0.3">
      <c r="A211" s="1" t="s">
        <v>357</v>
      </c>
      <c r="B211" s="2">
        <v>44762.409722222219</v>
      </c>
      <c r="C211" s="1" t="s">
        <v>37</v>
      </c>
      <c r="D211" s="1" t="s">
        <v>44</v>
      </c>
      <c r="E211" s="1" t="s">
        <v>45</v>
      </c>
      <c r="F211" s="1" t="s">
        <v>77</v>
      </c>
      <c r="G211" s="1" t="s">
        <v>77</v>
      </c>
      <c r="H211" s="1" t="s">
        <v>77</v>
      </c>
      <c r="I211" s="1" t="s">
        <v>77</v>
      </c>
      <c r="J211" s="1" t="s">
        <v>77</v>
      </c>
      <c r="K211" s="1" t="s">
        <v>77</v>
      </c>
      <c r="L211">
        <v>20220720094954</v>
      </c>
      <c r="M211" s="1" t="s">
        <v>363</v>
      </c>
      <c r="N211" s="1" t="s">
        <v>24</v>
      </c>
      <c r="O211">
        <v>7</v>
      </c>
      <c r="P211" s="3">
        <v>44762</v>
      </c>
      <c r="Q211">
        <v>29</v>
      </c>
    </row>
    <row r="212" spans="1:17" x14ac:dyDescent="0.3">
      <c r="A212" s="1" t="s">
        <v>364</v>
      </c>
      <c r="B212" s="2">
        <v>44762.409722222219</v>
      </c>
      <c r="C212" s="1" t="s">
        <v>37</v>
      </c>
      <c r="D212" s="1" t="s">
        <v>41</v>
      </c>
      <c r="E212" s="1" t="s">
        <v>42</v>
      </c>
      <c r="F212" s="1" t="s">
        <v>77</v>
      </c>
      <c r="G212" s="1" t="s">
        <v>77</v>
      </c>
      <c r="H212" s="1" t="s">
        <v>77</v>
      </c>
      <c r="I212" s="1" t="s">
        <v>77</v>
      </c>
      <c r="J212" s="1" t="s">
        <v>77</v>
      </c>
      <c r="K212" s="1" t="s">
        <v>77</v>
      </c>
      <c r="L212">
        <v>20220720095003</v>
      </c>
      <c r="M212" s="1" t="s">
        <v>365</v>
      </c>
      <c r="N212" s="1" t="s">
        <v>24</v>
      </c>
      <c r="O212">
        <v>7</v>
      </c>
      <c r="P212" s="3">
        <v>44762</v>
      </c>
      <c r="Q212">
        <v>29</v>
      </c>
    </row>
    <row r="213" spans="1:17" x14ac:dyDescent="0.3">
      <c r="A213" s="1" t="s">
        <v>364</v>
      </c>
      <c r="B213" s="2">
        <v>44762.409722222219</v>
      </c>
      <c r="C213" s="1" t="s">
        <v>37</v>
      </c>
      <c r="D213" s="1" t="s">
        <v>26</v>
      </c>
      <c r="E213" s="1" t="s">
        <v>27</v>
      </c>
      <c r="F213" s="1" t="s">
        <v>77</v>
      </c>
      <c r="G213" s="1" t="s">
        <v>77</v>
      </c>
      <c r="H213" s="1" t="s">
        <v>77</v>
      </c>
      <c r="I213" s="1" t="s">
        <v>77</v>
      </c>
      <c r="J213" s="1" t="s">
        <v>77</v>
      </c>
      <c r="K213" s="1" t="s">
        <v>77</v>
      </c>
      <c r="L213">
        <v>20220720095011</v>
      </c>
      <c r="M213" s="1" t="s">
        <v>366</v>
      </c>
      <c r="N213" s="1" t="s">
        <v>24</v>
      </c>
      <c r="O213">
        <v>7</v>
      </c>
      <c r="P213" s="3">
        <v>44762</v>
      </c>
      <c r="Q213">
        <v>29</v>
      </c>
    </row>
    <row r="214" spans="1:17" x14ac:dyDescent="0.3">
      <c r="A214" s="1" t="s">
        <v>364</v>
      </c>
      <c r="B214" s="2">
        <v>44762.409722222219</v>
      </c>
      <c r="C214" s="1" t="s">
        <v>18</v>
      </c>
      <c r="D214" s="1" t="s">
        <v>195</v>
      </c>
      <c r="E214" s="1" t="s">
        <v>77</v>
      </c>
      <c r="F214" s="1" t="s">
        <v>77</v>
      </c>
      <c r="G214" s="1" t="s">
        <v>77</v>
      </c>
      <c r="H214" s="1" t="s">
        <v>77</v>
      </c>
      <c r="I214" s="1" t="s">
        <v>77</v>
      </c>
      <c r="J214" s="1" t="s">
        <v>21</v>
      </c>
      <c r="K214" s="1" t="s">
        <v>22</v>
      </c>
      <c r="L214">
        <v>20220720095019</v>
      </c>
      <c r="M214" s="1" t="s">
        <v>367</v>
      </c>
      <c r="N214" s="1" t="s">
        <v>24</v>
      </c>
      <c r="O214">
        <v>7</v>
      </c>
      <c r="P214" s="3">
        <v>44762</v>
      </c>
      <c r="Q214">
        <v>29</v>
      </c>
    </row>
    <row r="215" spans="1:17" x14ac:dyDescent="0.3">
      <c r="A215" s="1" t="s">
        <v>364</v>
      </c>
      <c r="B215" s="2">
        <v>44762.409722222219</v>
      </c>
      <c r="C215" s="1" t="s">
        <v>18</v>
      </c>
      <c r="D215" s="1" t="s">
        <v>29</v>
      </c>
      <c r="E215" s="1" t="s">
        <v>77</v>
      </c>
      <c r="F215" s="1" t="s">
        <v>77</v>
      </c>
      <c r="G215" s="1" t="s">
        <v>77</v>
      </c>
      <c r="H215" s="1" t="s">
        <v>77</v>
      </c>
      <c r="I215" s="1" t="s">
        <v>77</v>
      </c>
      <c r="J215" s="1" t="s">
        <v>30</v>
      </c>
      <c r="K215" s="1" t="s">
        <v>175</v>
      </c>
      <c r="L215">
        <v>20220720095029</v>
      </c>
      <c r="M215" s="1" t="s">
        <v>368</v>
      </c>
      <c r="N215" s="1" t="s">
        <v>24</v>
      </c>
      <c r="O215">
        <v>7</v>
      </c>
      <c r="P215" s="3">
        <v>44762</v>
      </c>
      <c r="Q215">
        <v>29</v>
      </c>
    </row>
    <row r="216" spans="1:17" x14ac:dyDescent="0.3">
      <c r="A216" s="1" t="s">
        <v>364</v>
      </c>
      <c r="B216" s="2">
        <v>44762.409722222219</v>
      </c>
      <c r="C216" s="1" t="s">
        <v>37</v>
      </c>
      <c r="D216" s="1" t="s">
        <v>53</v>
      </c>
      <c r="E216" s="1" t="s">
        <v>56</v>
      </c>
      <c r="F216" s="1" t="s">
        <v>77</v>
      </c>
      <c r="G216" s="1" t="s">
        <v>77</v>
      </c>
      <c r="H216" s="1" t="s">
        <v>77</v>
      </c>
      <c r="I216" s="1" t="s">
        <v>77</v>
      </c>
      <c r="J216" s="1" t="s">
        <v>20</v>
      </c>
      <c r="K216" s="1" t="s">
        <v>20</v>
      </c>
      <c r="L216">
        <v>20220720095040</v>
      </c>
      <c r="M216" s="1" t="s">
        <v>369</v>
      </c>
      <c r="N216" s="1" t="s">
        <v>24</v>
      </c>
      <c r="O216">
        <v>7</v>
      </c>
      <c r="P216" s="3">
        <v>44762</v>
      </c>
      <c r="Q216">
        <v>29</v>
      </c>
    </row>
    <row r="217" spans="1:17" x14ac:dyDescent="0.3">
      <c r="A217" s="1" t="s">
        <v>364</v>
      </c>
      <c r="B217" s="2">
        <v>44762.409722222219</v>
      </c>
      <c r="C217" s="1" t="s">
        <v>18</v>
      </c>
      <c r="D217" s="1" t="s">
        <v>29</v>
      </c>
      <c r="E217" s="1" t="s">
        <v>77</v>
      </c>
      <c r="F217" s="1" t="s">
        <v>77</v>
      </c>
      <c r="G217" s="1" t="s">
        <v>77</v>
      </c>
      <c r="H217" s="1" t="s">
        <v>77</v>
      </c>
      <c r="I217" s="1" t="s">
        <v>77</v>
      </c>
      <c r="J217" s="1" t="s">
        <v>34</v>
      </c>
      <c r="K217" s="1" t="s">
        <v>171</v>
      </c>
      <c r="L217">
        <v>20220720095052</v>
      </c>
      <c r="M217" s="1" t="s">
        <v>370</v>
      </c>
      <c r="N217" s="1" t="s">
        <v>24</v>
      </c>
      <c r="O217">
        <v>7</v>
      </c>
      <c r="P217" s="3">
        <v>44762</v>
      </c>
      <c r="Q217">
        <v>29</v>
      </c>
    </row>
    <row r="218" spans="1:17" x14ac:dyDescent="0.3">
      <c r="A218" s="1" t="s">
        <v>371</v>
      </c>
      <c r="B218" s="2">
        <v>44762.410416666666</v>
      </c>
      <c r="C218" s="1" t="s">
        <v>168</v>
      </c>
      <c r="D218" s="1" t="s">
        <v>38</v>
      </c>
      <c r="E218" s="1" t="s">
        <v>77</v>
      </c>
      <c r="F218" s="1" t="s">
        <v>39</v>
      </c>
      <c r="G218" s="1" t="s">
        <v>372</v>
      </c>
      <c r="H218" s="1" t="s">
        <v>77</v>
      </c>
      <c r="I218" s="1" t="s">
        <v>77</v>
      </c>
      <c r="J218" s="1" t="s">
        <v>77</v>
      </c>
      <c r="K218" s="1" t="s">
        <v>77</v>
      </c>
      <c r="L218">
        <v>20220720095102</v>
      </c>
      <c r="M218" s="1" t="s">
        <v>373</v>
      </c>
      <c r="N218" s="1" t="s">
        <v>24</v>
      </c>
      <c r="O218">
        <v>7</v>
      </c>
      <c r="P218" s="3">
        <v>44762</v>
      </c>
      <c r="Q218">
        <v>29</v>
      </c>
    </row>
    <row r="219" spans="1:17" x14ac:dyDescent="0.3">
      <c r="A219" s="1" t="s">
        <v>374</v>
      </c>
      <c r="B219" s="2">
        <v>44763.40347222222</v>
      </c>
      <c r="C219" s="1" t="s">
        <v>37</v>
      </c>
      <c r="D219" s="1" t="s">
        <v>29</v>
      </c>
      <c r="E219" s="1" t="s">
        <v>30</v>
      </c>
      <c r="F219" s="1" t="s">
        <v>77</v>
      </c>
      <c r="G219" s="1" t="s">
        <v>77</v>
      </c>
      <c r="H219" s="1" t="s">
        <v>77</v>
      </c>
      <c r="I219" s="1" t="s">
        <v>77</v>
      </c>
      <c r="J219" s="1" t="s">
        <v>77</v>
      </c>
      <c r="K219" s="1" t="s">
        <v>77</v>
      </c>
      <c r="L219">
        <v>20220721094108</v>
      </c>
      <c r="M219" s="1" t="s">
        <v>375</v>
      </c>
      <c r="N219" s="1" t="s">
        <v>65</v>
      </c>
      <c r="O219">
        <v>7</v>
      </c>
      <c r="P219" s="3">
        <v>44763</v>
      </c>
      <c r="Q219">
        <v>29</v>
      </c>
    </row>
    <row r="220" spans="1:17" x14ac:dyDescent="0.3">
      <c r="A220" s="1" t="s">
        <v>374</v>
      </c>
      <c r="B220" s="2">
        <v>44763.40347222222</v>
      </c>
      <c r="C220" s="1" t="s">
        <v>37</v>
      </c>
      <c r="D220" s="1" t="s">
        <v>60</v>
      </c>
      <c r="E220" s="1" t="s">
        <v>61</v>
      </c>
      <c r="F220" s="1" t="s">
        <v>77</v>
      </c>
      <c r="G220" s="1" t="s">
        <v>77</v>
      </c>
      <c r="H220" s="1" t="s">
        <v>77</v>
      </c>
      <c r="I220" s="1" t="s">
        <v>77</v>
      </c>
      <c r="J220" s="1" t="s">
        <v>77</v>
      </c>
      <c r="K220" s="1" t="s">
        <v>77</v>
      </c>
      <c r="L220">
        <v>20220721094119</v>
      </c>
      <c r="M220" s="1" t="s">
        <v>376</v>
      </c>
      <c r="N220" s="1" t="s">
        <v>65</v>
      </c>
      <c r="O220">
        <v>7</v>
      </c>
      <c r="P220" s="3">
        <v>44763</v>
      </c>
      <c r="Q220">
        <v>29</v>
      </c>
    </row>
    <row r="221" spans="1:17" x14ac:dyDescent="0.3">
      <c r="A221" s="1" t="s">
        <v>374</v>
      </c>
      <c r="B221" s="2">
        <v>44763.40347222222</v>
      </c>
      <c r="C221" s="1" t="s">
        <v>37</v>
      </c>
      <c r="D221" s="1" t="s">
        <v>19</v>
      </c>
      <c r="E221" s="1" t="s">
        <v>58</v>
      </c>
      <c r="F221" s="1" t="s">
        <v>77</v>
      </c>
      <c r="G221" s="1" t="s">
        <v>77</v>
      </c>
      <c r="H221" s="1" t="s">
        <v>77</v>
      </c>
      <c r="I221" s="1" t="s">
        <v>77</v>
      </c>
      <c r="J221" s="1" t="s">
        <v>77</v>
      </c>
      <c r="K221" s="1" t="s">
        <v>77</v>
      </c>
      <c r="L221">
        <v>20220721094127</v>
      </c>
      <c r="M221" s="1" t="s">
        <v>377</v>
      </c>
      <c r="N221" s="1" t="s">
        <v>65</v>
      </c>
      <c r="O221">
        <v>7</v>
      </c>
      <c r="P221" s="3">
        <v>44763</v>
      </c>
      <c r="Q221">
        <v>29</v>
      </c>
    </row>
    <row r="222" spans="1:17" x14ac:dyDescent="0.3">
      <c r="A222" s="1" t="s">
        <v>378</v>
      </c>
      <c r="B222" s="2">
        <v>44763.404166666667</v>
      </c>
      <c r="C222" s="1" t="s">
        <v>37</v>
      </c>
      <c r="D222" s="1" t="s">
        <v>53</v>
      </c>
      <c r="E222" s="1" t="s">
        <v>54</v>
      </c>
      <c r="F222" s="1" t="s">
        <v>77</v>
      </c>
      <c r="G222" s="1" t="s">
        <v>77</v>
      </c>
      <c r="H222" s="1" t="s">
        <v>77</v>
      </c>
      <c r="I222" s="1" t="s">
        <v>77</v>
      </c>
      <c r="J222" s="1" t="s">
        <v>77</v>
      </c>
      <c r="K222" s="1" t="s">
        <v>77</v>
      </c>
      <c r="L222">
        <v>20220721094200</v>
      </c>
      <c r="M222" s="1" t="s">
        <v>379</v>
      </c>
      <c r="N222" s="1" t="s">
        <v>65</v>
      </c>
      <c r="O222">
        <v>7</v>
      </c>
      <c r="P222" s="3">
        <v>44763</v>
      </c>
      <c r="Q222">
        <v>29</v>
      </c>
    </row>
    <row r="223" spans="1:17" x14ac:dyDescent="0.3">
      <c r="A223" s="1" t="s">
        <v>378</v>
      </c>
      <c r="B223" s="2">
        <v>44763.404166666667</v>
      </c>
      <c r="C223" s="1" t="s">
        <v>37</v>
      </c>
      <c r="D223" s="1" t="s">
        <v>47</v>
      </c>
      <c r="E223" s="1" t="s">
        <v>48</v>
      </c>
      <c r="F223" s="1" t="s">
        <v>77</v>
      </c>
      <c r="G223" s="1" t="s">
        <v>77</v>
      </c>
      <c r="H223" s="1" t="s">
        <v>77</v>
      </c>
      <c r="I223" s="1" t="s">
        <v>77</v>
      </c>
      <c r="J223" s="1" t="s">
        <v>77</v>
      </c>
      <c r="K223" s="1" t="s">
        <v>77</v>
      </c>
      <c r="L223">
        <v>20220721094209</v>
      </c>
      <c r="M223" s="1" t="s">
        <v>380</v>
      </c>
      <c r="N223" s="1" t="s">
        <v>65</v>
      </c>
      <c r="O223">
        <v>7</v>
      </c>
      <c r="P223" s="3">
        <v>44763</v>
      </c>
      <c r="Q223">
        <v>29</v>
      </c>
    </row>
    <row r="224" spans="1:17" x14ac:dyDescent="0.3">
      <c r="A224" s="1" t="s">
        <v>378</v>
      </c>
      <c r="B224" s="2">
        <v>44763.404166666667</v>
      </c>
      <c r="C224" s="1" t="s">
        <v>37</v>
      </c>
      <c r="D224" s="1" t="s">
        <v>47</v>
      </c>
      <c r="E224" s="1" t="s">
        <v>51</v>
      </c>
      <c r="F224" s="1" t="s">
        <v>77</v>
      </c>
      <c r="G224" s="1" t="s">
        <v>77</v>
      </c>
      <c r="H224" s="1" t="s">
        <v>77</v>
      </c>
      <c r="I224" s="1" t="s">
        <v>77</v>
      </c>
      <c r="J224" s="1" t="s">
        <v>77</v>
      </c>
      <c r="K224" s="1" t="s">
        <v>77</v>
      </c>
      <c r="L224">
        <v>20220721094218</v>
      </c>
      <c r="M224" s="1" t="s">
        <v>381</v>
      </c>
      <c r="N224" s="1" t="s">
        <v>65</v>
      </c>
      <c r="O224">
        <v>7</v>
      </c>
      <c r="P224" s="3">
        <v>44763</v>
      </c>
      <c r="Q224">
        <v>29</v>
      </c>
    </row>
    <row r="225" spans="1:17" x14ac:dyDescent="0.3">
      <c r="A225" s="1" t="s">
        <v>378</v>
      </c>
      <c r="B225" s="2">
        <v>44763.404166666667</v>
      </c>
      <c r="C225" s="1" t="s">
        <v>37</v>
      </c>
      <c r="D225" s="1" t="s">
        <v>44</v>
      </c>
      <c r="E225" s="1" t="s">
        <v>45</v>
      </c>
      <c r="F225" s="1" t="s">
        <v>77</v>
      </c>
      <c r="G225" s="1" t="s">
        <v>77</v>
      </c>
      <c r="H225" s="1" t="s">
        <v>77</v>
      </c>
      <c r="I225" s="1" t="s">
        <v>77</v>
      </c>
      <c r="J225" s="1" t="s">
        <v>77</v>
      </c>
      <c r="K225" s="1" t="s">
        <v>77</v>
      </c>
      <c r="L225">
        <v>20220721094227</v>
      </c>
      <c r="M225" s="1" t="s">
        <v>382</v>
      </c>
      <c r="N225" s="1" t="s">
        <v>65</v>
      </c>
      <c r="O225">
        <v>7</v>
      </c>
      <c r="P225" s="3">
        <v>44763</v>
      </c>
      <c r="Q225">
        <v>29</v>
      </c>
    </row>
    <row r="226" spans="1:17" x14ac:dyDescent="0.3">
      <c r="A226" s="1" t="s">
        <v>378</v>
      </c>
      <c r="B226" s="2">
        <v>44763.404166666667</v>
      </c>
      <c r="C226" s="1" t="s">
        <v>37</v>
      </c>
      <c r="D226" s="1" t="s">
        <v>41</v>
      </c>
      <c r="E226" s="1" t="s">
        <v>42</v>
      </c>
      <c r="F226" s="1" t="s">
        <v>77</v>
      </c>
      <c r="G226" s="1" t="s">
        <v>77</v>
      </c>
      <c r="H226" s="1" t="s">
        <v>77</v>
      </c>
      <c r="I226" s="1" t="s">
        <v>77</v>
      </c>
      <c r="J226" s="1" t="s">
        <v>77</v>
      </c>
      <c r="K226" s="1" t="s">
        <v>77</v>
      </c>
      <c r="L226">
        <v>20220721094237</v>
      </c>
      <c r="M226" s="1" t="s">
        <v>383</v>
      </c>
      <c r="N226" s="1" t="s">
        <v>65</v>
      </c>
      <c r="O226">
        <v>7</v>
      </c>
      <c r="P226" s="3">
        <v>44763</v>
      </c>
      <c r="Q226">
        <v>29</v>
      </c>
    </row>
    <row r="227" spans="1:17" x14ac:dyDescent="0.3">
      <c r="A227" s="1" t="s">
        <v>378</v>
      </c>
      <c r="B227" s="2">
        <v>44763.404166666667</v>
      </c>
      <c r="C227" s="1" t="s">
        <v>18</v>
      </c>
      <c r="D227" s="1" t="s">
        <v>29</v>
      </c>
      <c r="E227" s="1" t="s">
        <v>77</v>
      </c>
      <c r="F227" s="1" t="s">
        <v>77</v>
      </c>
      <c r="G227" s="1" t="s">
        <v>77</v>
      </c>
      <c r="H227" s="1" t="s">
        <v>77</v>
      </c>
      <c r="I227" s="1" t="s">
        <v>77</v>
      </c>
      <c r="J227" s="1" t="s">
        <v>34</v>
      </c>
      <c r="K227" s="1" t="s">
        <v>171</v>
      </c>
      <c r="L227">
        <v>20220721094246</v>
      </c>
      <c r="M227" s="1" t="s">
        <v>384</v>
      </c>
      <c r="N227" s="1" t="s">
        <v>65</v>
      </c>
      <c r="O227">
        <v>7</v>
      </c>
      <c r="P227" s="3">
        <v>44763</v>
      </c>
      <c r="Q227">
        <v>29</v>
      </c>
    </row>
    <row r="228" spans="1:17" x14ac:dyDescent="0.3">
      <c r="A228" s="1" t="s">
        <v>378</v>
      </c>
      <c r="B228" s="2">
        <v>44763.404861111114</v>
      </c>
      <c r="C228" s="1" t="s">
        <v>18</v>
      </c>
      <c r="D228" s="1" t="s">
        <v>195</v>
      </c>
      <c r="E228" s="1" t="s">
        <v>77</v>
      </c>
      <c r="F228" s="1" t="s">
        <v>77</v>
      </c>
      <c r="G228" s="1" t="s">
        <v>77</v>
      </c>
      <c r="H228" s="1" t="s">
        <v>77</v>
      </c>
      <c r="I228" s="1" t="s">
        <v>77</v>
      </c>
      <c r="J228" s="1" t="s">
        <v>21</v>
      </c>
      <c r="K228" s="1" t="s">
        <v>22</v>
      </c>
      <c r="L228">
        <v>20220721094256</v>
      </c>
      <c r="M228" s="1" t="s">
        <v>385</v>
      </c>
      <c r="N228" s="1" t="s">
        <v>65</v>
      </c>
      <c r="O228">
        <v>7</v>
      </c>
      <c r="P228" s="3">
        <v>44763</v>
      </c>
      <c r="Q228">
        <v>29</v>
      </c>
    </row>
    <row r="229" spans="1:17" x14ac:dyDescent="0.3">
      <c r="A229" s="1" t="s">
        <v>386</v>
      </c>
      <c r="B229" s="2">
        <v>44763.404861111114</v>
      </c>
      <c r="C229" s="1" t="s">
        <v>18</v>
      </c>
      <c r="D229" s="1" t="s">
        <v>26</v>
      </c>
      <c r="E229" s="1" t="s">
        <v>20</v>
      </c>
      <c r="F229" s="1" t="s">
        <v>77</v>
      </c>
      <c r="G229" s="1" t="s">
        <v>77</v>
      </c>
      <c r="H229" s="1" t="s">
        <v>77</v>
      </c>
      <c r="I229" s="1" t="s">
        <v>77</v>
      </c>
      <c r="J229" s="1" t="s">
        <v>27</v>
      </c>
      <c r="K229" s="1" t="s">
        <v>22</v>
      </c>
      <c r="L229">
        <v>20220721094306</v>
      </c>
      <c r="M229" s="1" t="s">
        <v>387</v>
      </c>
      <c r="N229" s="1" t="s">
        <v>65</v>
      </c>
      <c r="O229">
        <v>7</v>
      </c>
      <c r="P229" s="3">
        <v>44763</v>
      </c>
      <c r="Q229">
        <v>29</v>
      </c>
    </row>
    <row r="230" spans="1:17" x14ac:dyDescent="0.3">
      <c r="A230" s="1" t="s">
        <v>386</v>
      </c>
      <c r="B230" s="2">
        <v>44763.404861111114</v>
      </c>
      <c r="C230" s="1" t="s">
        <v>37</v>
      </c>
      <c r="D230" s="1" t="s">
        <v>38</v>
      </c>
      <c r="E230" s="1" t="s">
        <v>39</v>
      </c>
      <c r="F230" s="1" t="s">
        <v>77</v>
      </c>
      <c r="G230" s="1" t="s">
        <v>77</v>
      </c>
      <c r="H230" s="1" t="s">
        <v>77</v>
      </c>
      <c r="I230" s="1" t="s">
        <v>77</v>
      </c>
      <c r="J230" s="1" t="s">
        <v>20</v>
      </c>
      <c r="K230" s="1" t="s">
        <v>20</v>
      </c>
      <c r="L230">
        <v>20220721094317</v>
      </c>
      <c r="M230" s="1" t="s">
        <v>388</v>
      </c>
      <c r="N230" s="1" t="s">
        <v>65</v>
      </c>
      <c r="O230">
        <v>7</v>
      </c>
      <c r="P230" s="3">
        <v>44763</v>
      </c>
      <c r="Q230">
        <v>29</v>
      </c>
    </row>
    <row r="231" spans="1:17" x14ac:dyDescent="0.3">
      <c r="A231" s="1" t="s">
        <v>389</v>
      </c>
      <c r="B231" s="2">
        <v>44763.453472222223</v>
      </c>
      <c r="C231" s="1" t="s">
        <v>37</v>
      </c>
      <c r="D231" s="1" t="s">
        <v>53</v>
      </c>
      <c r="E231" s="1" t="s">
        <v>56</v>
      </c>
      <c r="F231" s="1" t="s">
        <v>77</v>
      </c>
      <c r="G231" s="1" t="s">
        <v>77</v>
      </c>
      <c r="H231" s="1" t="s">
        <v>77</v>
      </c>
      <c r="I231" s="1" t="s">
        <v>77</v>
      </c>
      <c r="J231" s="1" t="s">
        <v>77</v>
      </c>
      <c r="K231" s="1" t="s">
        <v>77</v>
      </c>
      <c r="L231">
        <v>20220721105315</v>
      </c>
      <c r="M231" s="1" t="s">
        <v>390</v>
      </c>
      <c r="N231" s="1" t="s">
        <v>65</v>
      </c>
      <c r="O231">
        <v>7</v>
      </c>
      <c r="P231" s="3">
        <v>44763</v>
      </c>
      <c r="Q231">
        <v>29</v>
      </c>
    </row>
    <row r="232" spans="1:17" x14ac:dyDescent="0.3">
      <c r="A232" s="1" t="s">
        <v>391</v>
      </c>
      <c r="B232" s="2">
        <v>44764.40625</v>
      </c>
      <c r="C232" s="1" t="s">
        <v>37</v>
      </c>
      <c r="D232" s="1" t="s">
        <v>29</v>
      </c>
      <c r="E232" s="1" t="s">
        <v>30</v>
      </c>
      <c r="F232" s="1" t="s">
        <v>77</v>
      </c>
      <c r="G232" s="1" t="s">
        <v>77</v>
      </c>
      <c r="H232" s="1" t="s">
        <v>77</v>
      </c>
      <c r="I232" s="1" t="s">
        <v>77</v>
      </c>
      <c r="J232" s="1" t="s">
        <v>77</v>
      </c>
      <c r="K232" s="1" t="s">
        <v>77</v>
      </c>
      <c r="L232">
        <v>20220722094511</v>
      </c>
      <c r="M232" s="1" t="s">
        <v>392</v>
      </c>
      <c r="N232" s="1" t="s">
        <v>84</v>
      </c>
      <c r="O232">
        <v>7</v>
      </c>
      <c r="P232" s="3">
        <v>44764</v>
      </c>
      <c r="Q232">
        <v>29</v>
      </c>
    </row>
    <row r="233" spans="1:17" x14ac:dyDescent="0.3">
      <c r="A233" s="1" t="s">
        <v>391</v>
      </c>
      <c r="B233" s="2">
        <v>44764.40625</v>
      </c>
      <c r="C233" s="1" t="s">
        <v>37</v>
      </c>
      <c r="D233" s="1" t="s">
        <v>60</v>
      </c>
      <c r="E233" s="1" t="s">
        <v>61</v>
      </c>
      <c r="F233" s="1" t="s">
        <v>77</v>
      </c>
      <c r="G233" s="1" t="s">
        <v>77</v>
      </c>
      <c r="H233" s="1" t="s">
        <v>77</v>
      </c>
      <c r="I233" s="1" t="s">
        <v>77</v>
      </c>
      <c r="J233" s="1" t="s">
        <v>77</v>
      </c>
      <c r="K233" s="1" t="s">
        <v>77</v>
      </c>
      <c r="L233">
        <v>20220722094522</v>
      </c>
      <c r="M233" s="1" t="s">
        <v>393</v>
      </c>
      <c r="N233" s="1" t="s">
        <v>84</v>
      </c>
      <c r="O233">
        <v>7</v>
      </c>
      <c r="P233" s="3">
        <v>44764</v>
      </c>
      <c r="Q233">
        <v>29</v>
      </c>
    </row>
    <row r="234" spans="1:17" x14ac:dyDescent="0.3">
      <c r="A234" s="1" t="s">
        <v>391</v>
      </c>
      <c r="B234" s="2">
        <v>44764.40625</v>
      </c>
      <c r="C234" s="1" t="s">
        <v>37</v>
      </c>
      <c r="D234" s="1" t="s">
        <v>19</v>
      </c>
      <c r="E234" s="1" t="s">
        <v>58</v>
      </c>
      <c r="F234" s="1" t="s">
        <v>77</v>
      </c>
      <c r="G234" s="1" t="s">
        <v>77</v>
      </c>
      <c r="H234" s="1" t="s">
        <v>77</v>
      </c>
      <c r="I234" s="1" t="s">
        <v>77</v>
      </c>
      <c r="J234" s="1" t="s">
        <v>77</v>
      </c>
      <c r="K234" s="1" t="s">
        <v>77</v>
      </c>
      <c r="L234">
        <v>20220722094532</v>
      </c>
      <c r="M234" s="1" t="s">
        <v>394</v>
      </c>
      <c r="N234" s="1" t="s">
        <v>84</v>
      </c>
      <c r="O234">
        <v>7</v>
      </c>
      <c r="P234" s="3">
        <v>44764</v>
      </c>
      <c r="Q234">
        <v>29</v>
      </c>
    </row>
    <row r="235" spans="1:17" x14ac:dyDescent="0.3">
      <c r="A235" s="1" t="s">
        <v>391</v>
      </c>
      <c r="B235" s="2">
        <v>44764.40625</v>
      </c>
      <c r="C235" s="1" t="s">
        <v>37</v>
      </c>
      <c r="D235" s="1" t="s">
        <v>53</v>
      </c>
      <c r="E235" s="1" t="s">
        <v>54</v>
      </c>
      <c r="F235" s="1" t="s">
        <v>77</v>
      </c>
      <c r="G235" s="1" t="s">
        <v>77</v>
      </c>
      <c r="H235" s="1" t="s">
        <v>77</v>
      </c>
      <c r="I235" s="1" t="s">
        <v>77</v>
      </c>
      <c r="J235" s="1" t="s">
        <v>77</v>
      </c>
      <c r="K235" s="1" t="s">
        <v>77</v>
      </c>
      <c r="L235">
        <v>20220722094541</v>
      </c>
      <c r="M235" s="1" t="s">
        <v>395</v>
      </c>
      <c r="N235" s="1" t="s">
        <v>84</v>
      </c>
      <c r="O235">
        <v>7</v>
      </c>
      <c r="P235" s="3">
        <v>44764</v>
      </c>
      <c r="Q235">
        <v>29</v>
      </c>
    </row>
    <row r="236" spans="1:17" x14ac:dyDescent="0.3">
      <c r="A236" s="1" t="s">
        <v>391</v>
      </c>
      <c r="B236" s="2">
        <v>44764.40625</v>
      </c>
      <c r="C236" s="1" t="s">
        <v>37</v>
      </c>
      <c r="D236" s="1" t="s">
        <v>47</v>
      </c>
      <c r="E236" s="1" t="s">
        <v>48</v>
      </c>
      <c r="F236" s="1" t="s">
        <v>77</v>
      </c>
      <c r="G236" s="1" t="s">
        <v>77</v>
      </c>
      <c r="H236" s="1" t="s">
        <v>77</v>
      </c>
      <c r="I236" s="1" t="s">
        <v>77</v>
      </c>
      <c r="J236" s="1" t="s">
        <v>77</v>
      </c>
      <c r="K236" s="1" t="s">
        <v>77</v>
      </c>
      <c r="L236">
        <v>20220722094550</v>
      </c>
      <c r="M236" s="1" t="s">
        <v>396</v>
      </c>
      <c r="N236" s="1" t="s">
        <v>84</v>
      </c>
      <c r="O236">
        <v>7</v>
      </c>
      <c r="P236" s="3">
        <v>44764</v>
      </c>
      <c r="Q236">
        <v>29</v>
      </c>
    </row>
    <row r="237" spans="1:17" x14ac:dyDescent="0.3">
      <c r="A237" s="1" t="s">
        <v>397</v>
      </c>
      <c r="B237" s="2">
        <v>44764.406944444447</v>
      </c>
      <c r="C237" s="1" t="s">
        <v>37</v>
      </c>
      <c r="D237" s="1" t="s">
        <v>47</v>
      </c>
      <c r="E237" s="1" t="s">
        <v>51</v>
      </c>
      <c r="F237" s="1" t="s">
        <v>77</v>
      </c>
      <c r="G237" s="1" t="s">
        <v>77</v>
      </c>
      <c r="H237" s="1" t="s">
        <v>77</v>
      </c>
      <c r="I237" s="1" t="s">
        <v>77</v>
      </c>
      <c r="J237" s="1" t="s">
        <v>77</v>
      </c>
      <c r="K237" s="1" t="s">
        <v>77</v>
      </c>
      <c r="L237">
        <v>20220722094600</v>
      </c>
      <c r="M237" s="1" t="s">
        <v>398</v>
      </c>
      <c r="N237" s="1" t="s">
        <v>84</v>
      </c>
      <c r="O237">
        <v>7</v>
      </c>
      <c r="P237" s="3">
        <v>44764</v>
      </c>
      <c r="Q237">
        <v>29</v>
      </c>
    </row>
    <row r="238" spans="1:17" x14ac:dyDescent="0.3">
      <c r="A238" s="1" t="s">
        <v>397</v>
      </c>
      <c r="B238" s="2">
        <v>44764.406944444447</v>
      </c>
      <c r="C238" s="1" t="s">
        <v>37</v>
      </c>
      <c r="D238" s="1" t="s">
        <v>44</v>
      </c>
      <c r="E238" s="1" t="s">
        <v>45</v>
      </c>
      <c r="F238" s="1" t="s">
        <v>77</v>
      </c>
      <c r="G238" s="1" t="s">
        <v>77</v>
      </c>
      <c r="H238" s="1" t="s">
        <v>77</v>
      </c>
      <c r="I238" s="1" t="s">
        <v>77</v>
      </c>
      <c r="J238" s="1" t="s">
        <v>77</v>
      </c>
      <c r="K238" s="1" t="s">
        <v>77</v>
      </c>
      <c r="L238">
        <v>20220722094608</v>
      </c>
      <c r="M238" s="1" t="s">
        <v>399</v>
      </c>
      <c r="N238" s="1" t="s">
        <v>84</v>
      </c>
      <c r="O238">
        <v>7</v>
      </c>
      <c r="P238" s="3">
        <v>44764</v>
      </c>
      <c r="Q238">
        <v>29</v>
      </c>
    </row>
    <row r="239" spans="1:17" x14ac:dyDescent="0.3">
      <c r="A239" s="1" t="s">
        <v>397</v>
      </c>
      <c r="B239" s="2">
        <v>44764.406944444447</v>
      </c>
      <c r="C239" s="1" t="s">
        <v>37</v>
      </c>
      <c r="D239" s="1" t="s">
        <v>41</v>
      </c>
      <c r="E239" s="1" t="s">
        <v>42</v>
      </c>
      <c r="F239" s="1" t="s">
        <v>77</v>
      </c>
      <c r="G239" s="1" t="s">
        <v>77</v>
      </c>
      <c r="H239" s="1" t="s">
        <v>77</v>
      </c>
      <c r="I239" s="1" t="s">
        <v>77</v>
      </c>
      <c r="J239" s="1" t="s">
        <v>77</v>
      </c>
      <c r="K239" s="1" t="s">
        <v>77</v>
      </c>
      <c r="L239">
        <v>20220722094616</v>
      </c>
      <c r="M239" s="1" t="s">
        <v>400</v>
      </c>
      <c r="N239" s="1" t="s">
        <v>84</v>
      </c>
      <c r="O239">
        <v>7</v>
      </c>
      <c r="P239" s="3">
        <v>44764</v>
      </c>
      <c r="Q239">
        <v>29</v>
      </c>
    </row>
    <row r="240" spans="1:17" x14ac:dyDescent="0.3">
      <c r="A240" s="1" t="s">
        <v>397</v>
      </c>
      <c r="B240" s="2">
        <v>44764.406944444447</v>
      </c>
      <c r="C240" s="1" t="s">
        <v>37</v>
      </c>
      <c r="D240" s="1" t="s">
        <v>38</v>
      </c>
      <c r="E240" s="1" t="s">
        <v>39</v>
      </c>
      <c r="F240" s="1" t="s">
        <v>77</v>
      </c>
      <c r="G240" s="1" t="s">
        <v>77</v>
      </c>
      <c r="H240" s="1" t="s">
        <v>77</v>
      </c>
      <c r="I240" s="1" t="s">
        <v>77</v>
      </c>
      <c r="J240" s="1" t="s">
        <v>20</v>
      </c>
      <c r="K240" s="1" t="s">
        <v>20</v>
      </c>
      <c r="L240">
        <v>20220722094626</v>
      </c>
      <c r="M240" s="1" t="s">
        <v>401</v>
      </c>
      <c r="N240" s="1" t="s">
        <v>84</v>
      </c>
      <c r="O240">
        <v>7</v>
      </c>
      <c r="P240" s="3">
        <v>44764</v>
      </c>
      <c r="Q240">
        <v>29</v>
      </c>
    </row>
    <row r="241" spans="1:17" x14ac:dyDescent="0.3">
      <c r="A241" s="1" t="s">
        <v>397</v>
      </c>
      <c r="B241" s="2">
        <v>44764.406944444447</v>
      </c>
      <c r="C241" s="1" t="s">
        <v>37</v>
      </c>
      <c r="D241" s="1" t="s">
        <v>26</v>
      </c>
      <c r="E241" s="1" t="s">
        <v>27</v>
      </c>
      <c r="F241" s="1" t="s">
        <v>77</v>
      </c>
      <c r="G241" s="1" t="s">
        <v>77</v>
      </c>
      <c r="H241" s="1" t="s">
        <v>77</v>
      </c>
      <c r="I241" s="1" t="s">
        <v>77</v>
      </c>
      <c r="J241" s="1" t="s">
        <v>20</v>
      </c>
      <c r="K241" s="1" t="s">
        <v>20</v>
      </c>
      <c r="L241">
        <v>20220722094640</v>
      </c>
      <c r="M241" s="1" t="s">
        <v>402</v>
      </c>
      <c r="N241" s="1" t="s">
        <v>84</v>
      </c>
      <c r="O241">
        <v>7</v>
      </c>
      <c r="P241" s="3">
        <v>44764</v>
      </c>
      <c r="Q241">
        <v>29</v>
      </c>
    </row>
    <row r="242" spans="1:17" x14ac:dyDescent="0.3">
      <c r="A242" s="1" t="s">
        <v>397</v>
      </c>
      <c r="B242" s="2">
        <v>44764.407638888886</v>
      </c>
      <c r="C242" s="1" t="s">
        <v>37</v>
      </c>
      <c r="D242" s="1" t="s">
        <v>195</v>
      </c>
      <c r="E242" s="1" t="s">
        <v>21</v>
      </c>
      <c r="F242" s="1" t="s">
        <v>77</v>
      </c>
      <c r="G242" s="1" t="s">
        <v>77</v>
      </c>
      <c r="H242" s="1" t="s">
        <v>77</v>
      </c>
      <c r="I242" s="1" t="s">
        <v>77</v>
      </c>
      <c r="J242" s="1" t="s">
        <v>20</v>
      </c>
      <c r="K242" s="1" t="s">
        <v>20</v>
      </c>
      <c r="L242">
        <v>20220722094653</v>
      </c>
      <c r="M242" s="1" t="s">
        <v>403</v>
      </c>
      <c r="N242" s="1" t="s">
        <v>84</v>
      </c>
      <c r="O242">
        <v>7</v>
      </c>
      <c r="P242" s="3">
        <v>44764</v>
      </c>
      <c r="Q242">
        <v>29</v>
      </c>
    </row>
    <row r="243" spans="1:17" x14ac:dyDescent="0.3">
      <c r="A243" s="1" t="s">
        <v>404</v>
      </c>
      <c r="B243" s="2">
        <v>44764.408333333333</v>
      </c>
      <c r="C243" s="1" t="s">
        <v>18</v>
      </c>
      <c r="D243" s="1" t="s">
        <v>29</v>
      </c>
      <c r="E243" s="1" t="s">
        <v>77</v>
      </c>
      <c r="F243" s="1" t="s">
        <v>77</v>
      </c>
      <c r="G243" s="1" t="s">
        <v>77</v>
      </c>
      <c r="H243" s="1" t="s">
        <v>77</v>
      </c>
      <c r="I243" s="1" t="s">
        <v>77</v>
      </c>
      <c r="J243" s="1" t="s">
        <v>34</v>
      </c>
      <c r="K243" s="1" t="s">
        <v>171</v>
      </c>
      <c r="L243">
        <v>20220722094802</v>
      </c>
      <c r="M243" s="1" t="s">
        <v>405</v>
      </c>
      <c r="N243" s="1" t="s">
        <v>84</v>
      </c>
      <c r="O243">
        <v>7</v>
      </c>
      <c r="P243" s="3">
        <v>44764</v>
      </c>
      <c r="Q243">
        <v>29</v>
      </c>
    </row>
    <row r="244" spans="1:17" x14ac:dyDescent="0.3">
      <c r="A244" s="1" t="s">
        <v>404</v>
      </c>
      <c r="B244" s="2">
        <v>44764.40902777778</v>
      </c>
      <c r="C244" s="1" t="s">
        <v>37</v>
      </c>
      <c r="D244" s="1" t="s">
        <v>53</v>
      </c>
      <c r="E244" s="1" t="s">
        <v>56</v>
      </c>
      <c r="F244" s="1" t="s">
        <v>77</v>
      </c>
      <c r="G244" s="1" t="s">
        <v>77</v>
      </c>
      <c r="H244" s="1" t="s">
        <v>77</v>
      </c>
      <c r="I244" s="1" t="s">
        <v>77</v>
      </c>
      <c r="J244" s="1" t="s">
        <v>20</v>
      </c>
      <c r="K244" s="1" t="s">
        <v>20</v>
      </c>
      <c r="L244">
        <v>20220722094858</v>
      </c>
      <c r="M244" s="1" t="s">
        <v>406</v>
      </c>
      <c r="N244" s="1" t="s">
        <v>84</v>
      </c>
      <c r="O244">
        <v>7</v>
      </c>
      <c r="P244" s="3">
        <v>44764</v>
      </c>
      <c r="Q244">
        <v>29</v>
      </c>
    </row>
    <row r="245" spans="1:17" x14ac:dyDescent="0.3">
      <c r="A245" s="1" t="s">
        <v>407</v>
      </c>
      <c r="B245" s="2">
        <v>44765.461805555555</v>
      </c>
      <c r="C245" s="1" t="s">
        <v>37</v>
      </c>
      <c r="D245" s="1" t="s">
        <v>47</v>
      </c>
      <c r="E245" s="1" t="s">
        <v>51</v>
      </c>
      <c r="F245" s="1" t="s">
        <v>77</v>
      </c>
      <c r="G245" s="1" t="s">
        <v>77</v>
      </c>
      <c r="H245" s="1" t="s">
        <v>77</v>
      </c>
      <c r="I245" s="1" t="s">
        <v>77</v>
      </c>
      <c r="J245" s="1" t="s">
        <v>77</v>
      </c>
      <c r="K245" s="1" t="s">
        <v>77</v>
      </c>
      <c r="L245">
        <v>20220723110506</v>
      </c>
      <c r="M245" s="1" t="s">
        <v>408</v>
      </c>
      <c r="N245" s="1" t="s">
        <v>101</v>
      </c>
      <c r="O245">
        <v>7</v>
      </c>
      <c r="P245" s="3">
        <v>44765</v>
      </c>
      <c r="Q245">
        <v>29</v>
      </c>
    </row>
    <row r="246" spans="1:17" x14ac:dyDescent="0.3">
      <c r="A246" s="1" t="s">
        <v>407</v>
      </c>
      <c r="B246" s="2">
        <v>44765.461805555555</v>
      </c>
      <c r="C246" s="1" t="s">
        <v>37</v>
      </c>
      <c r="D246" s="1" t="s">
        <v>53</v>
      </c>
      <c r="E246" s="1" t="s">
        <v>54</v>
      </c>
      <c r="F246" s="1" t="s">
        <v>77</v>
      </c>
      <c r="G246" s="1" t="s">
        <v>77</v>
      </c>
      <c r="H246" s="1" t="s">
        <v>77</v>
      </c>
      <c r="I246" s="1" t="s">
        <v>77</v>
      </c>
      <c r="J246" s="1" t="s">
        <v>77</v>
      </c>
      <c r="K246" s="1" t="s">
        <v>77</v>
      </c>
      <c r="L246">
        <v>20220723110516</v>
      </c>
      <c r="M246" s="1" t="s">
        <v>409</v>
      </c>
      <c r="N246" s="1" t="s">
        <v>101</v>
      </c>
      <c r="O246">
        <v>7</v>
      </c>
      <c r="P246" s="3">
        <v>44765</v>
      </c>
      <c r="Q246">
        <v>29</v>
      </c>
    </row>
    <row r="247" spans="1:17" x14ac:dyDescent="0.3">
      <c r="A247" s="1" t="s">
        <v>407</v>
      </c>
      <c r="B247" s="2">
        <v>44765.461805555555</v>
      </c>
      <c r="C247" s="1" t="s">
        <v>37</v>
      </c>
      <c r="D247" s="1" t="s">
        <v>60</v>
      </c>
      <c r="E247" s="1" t="s">
        <v>61</v>
      </c>
      <c r="F247" s="1" t="s">
        <v>77</v>
      </c>
      <c r="G247" s="1" t="s">
        <v>77</v>
      </c>
      <c r="H247" s="1" t="s">
        <v>77</v>
      </c>
      <c r="I247" s="1" t="s">
        <v>77</v>
      </c>
      <c r="J247" s="1" t="s">
        <v>77</v>
      </c>
      <c r="K247" s="1" t="s">
        <v>77</v>
      </c>
      <c r="L247">
        <v>20220723110524</v>
      </c>
      <c r="M247" s="1" t="s">
        <v>410</v>
      </c>
      <c r="N247" s="1" t="s">
        <v>101</v>
      </c>
      <c r="O247">
        <v>7</v>
      </c>
      <c r="P247" s="3">
        <v>44765</v>
      </c>
      <c r="Q247">
        <v>29</v>
      </c>
    </row>
    <row r="248" spans="1:17" x14ac:dyDescent="0.3">
      <c r="A248" s="1" t="s">
        <v>407</v>
      </c>
      <c r="B248" s="2">
        <v>44765.461805555555</v>
      </c>
      <c r="C248" s="1" t="s">
        <v>37</v>
      </c>
      <c r="D248" s="1" t="s">
        <v>47</v>
      </c>
      <c r="E248" s="1" t="s">
        <v>48</v>
      </c>
      <c r="F248" s="1" t="s">
        <v>77</v>
      </c>
      <c r="G248" s="1" t="s">
        <v>77</v>
      </c>
      <c r="H248" s="1" t="s">
        <v>77</v>
      </c>
      <c r="I248" s="1" t="s">
        <v>77</v>
      </c>
      <c r="J248" s="1" t="s">
        <v>77</v>
      </c>
      <c r="K248" s="1" t="s">
        <v>77</v>
      </c>
      <c r="L248">
        <v>20220723110536</v>
      </c>
      <c r="M248" s="1" t="s">
        <v>411</v>
      </c>
      <c r="N248" s="1" t="s">
        <v>101</v>
      </c>
      <c r="O248">
        <v>7</v>
      </c>
      <c r="P248" s="3">
        <v>44765</v>
      </c>
      <c r="Q248">
        <v>29</v>
      </c>
    </row>
    <row r="249" spans="1:17" x14ac:dyDescent="0.3">
      <c r="A249" s="1" t="s">
        <v>407</v>
      </c>
      <c r="B249" s="2">
        <v>44765.461805555555</v>
      </c>
      <c r="C249" s="1" t="s">
        <v>18</v>
      </c>
      <c r="D249" s="1" t="s">
        <v>26</v>
      </c>
      <c r="E249" s="1" t="s">
        <v>77</v>
      </c>
      <c r="F249" s="1" t="s">
        <v>77</v>
      </c>
      <c r="G249" s="1" t="s">
        <v>77</v>
      </c>
      <c r="H249" s="1" t="s">
        <v>77</v>
      </c>
      <c r="I249" s="1" t="s">
        <v>77</v>
      </c>
      <c r="J249" s="1" t="s">
        <v>27</v>
      </c>
      <c r="K249" s="1" t="s">
        <v>309</v>
      </c>
      <c r="L249">
        <v>20220723110545</v>
      </c>
      <c r="M249" s="1" t="s">
        <v>412</v>
      </c>
      <c r="N249" s="1" t="s">
        <v>101</v>
      </c>
      <c r="O249">
        <v>7</v>
      </c>
      <c r="P249" s="3">
        <v>44765</v>
      </c>
      <c r="Q249">
        <v>29</v>
      </c>
    </row>
    <row r="250" spans="1:17" x14ac:dyDescent="0.3">
      <c r="A250" s="1" t="s">
        <v>413</v>
      </c>
      <c r="B250" s="2">
        <v>44765.462500000001</v>
      </c>
      <c r="C250" s="1" t="s">
        <v>18</v>
      </c>
      <c r="D250" s="1" t="s">
        <v>29</v>
      </c>
      <c r="E250" s="1" t="s">
        <v>77</v>
      </c>
      <c r="F250" s="1" t="s">
        <v>77</v>
      </c>
      <c r="G250" s="1" t="s">
        <v>77</v>
      </c>
      <c r="H250" s="1" t="s">
        <v>77</v>
      </c>
      <c r="I250" s="1" t="s">
        <v>77</v>
      </c>
      <c r="J250" s="1" t="s">
        <v>34</v>
      </c>
      <c r="K250" s="1" t="s">
        <v>171</v>
      </c>
      <c r="L250">
        <v>20220723110600</v>
      </c>
      <c r="M250" s="1" t="s">
        <v>414</v>
      </c>
      <c r="N250" s="1" t="s">
        <v>101</v>
      </c>
      <c r="O250">
        <v>7</v>
      </c>
      <c r="P250" s="3">
        <v>44765</v>
      </c>
      <c r="Q250">
        <v>29</v>
      </c>
    </row>
    <row r="251" spans="1:17" x14ac:dyDescent="0.3">
      <c r="A251" s="1" t="s">
        <v>413</v>
      </c>
      <c r="B251" s="2">
        <v>44765.462500000001</v>
      </c>
      <c r="C251" s="1" t="s">
        <v>18</v>
      </c>
      <c r="D251" s="1" t="s">
        <v>29</v>
      </c>
      <c r="E251" s="1" t="s">
        <v>77</v>
      </c>
      <c r="F251" s="1" t="s">
        <v>77</v>
      </c>
      <c r="G251" s="1" t="s">
        <v>77</v>
      </c>
      <c r="H251" s="1" t="s">
        <v>77</v>
      </c>
      <c r="I251" s="1" t="s">
        <v>77</v>
      </c>
      <c r="J251" s="1" t="s">
        <v>30</v>
      </c>
      <c r="K251" s="1" t="s">
        <v>415</v>
      </c>
      <c r="L251">
        <v>20220723110611</v>
      </c>
      <c r="M251" s="1" t="s">
        <v>416</v>
      </c>
      <c r="N251" s="1" t="s">
        <v>101</v>
      </c>
      <c r="O251">
        <v>7</v>
      </c>
      <c r="P251" s="3">
        <v>44765</v>
      </c>
      <c r="Q251">
        <v>29</v>
      </c>
    </row>
    <row r="252" spans="1:17" x14ac:dyDescent="0.3">
      <c r="A252" s="1" t="s">
        <v>413</v>
      </c>
      <c r="B252" s="2">
        <v>44765.462500000001</v>
      </c>
      <c r="C252" s="1" t="s">
        <v>18</v>
      </c>
      <c r="D252" s="1" t="s">
        <v>195</v>
      </c>
      <c r="E252" s="1" t="s">
        <v>77</v>
      </c>
      <c r="F252" s="1" t="s">
        <v>77</v>
      </c>
      <c r="G252" s="1" t="s">
        <v>77</v>
      </c>
      <c r="H252" s="1" t="s">
        <v>77</v>
      </c>
      <c r="I252" s="1" t="s">
        <v>77</v>
      </c>
      <c r="J252" s="1" t="s">
        <v>21</v>
      </c>
      <c r="K252" s="1" t="s">
        <v>309</v>
      </c>
      <c r="L252">
        <v>20220723110628</v>
      </c>
      <c r="M252" s="1" t="s">
        <v>417</v>
      </c>
      <c r="N252" s="1" t="s">
        <v>101</v>
      </c>
      <c r="O252">
        <v>7</v>
      </c>
      <c r="P252" s="3">
        <v>44765</v>
      </c>
      <c r="Q252">
        <v>29</v>
      </c>
    </row>
    <row r="253" spans="1:17" x14ac:dyDescent="0.3">
      <c r="A253" s="1" t="s">
        <v>413</v>
      </c>
      <c r="B253" s="2">
        <v>44765.462500000001</v>
      </c>
      <c r="C253" s="1" t="s">
        <v>18</v>
      </c>
      <c r="D253" s="1" t="s">
        <v>38</v>
      </c>
      <c r="E253" s="1" t="s">
        <v>77</v>
      </c>
      <c r="F253" s="1" t="s">
        <v>77</v>
      </c>
      <c r="G253" s="1" t="s">
        <v>77</v>
      </c>
      <c r="H253" s="1" t="s">
        <v>77</v>
      </c>
      <c r="I253" s="1" t="s">
        <v>77</v>
      </c>
      <c r="J253" s="1" t="s">
        <v>39</v>
      </c>
      <c r="K253" s="1" t="s">
        <v>331</v>
      </c>
      <c r="L253">
        <v>20220723110639</v>
      </c>
      <c r="M253" s="1" t="s">
        <v>418</v>
      </c>
      <c r="N253" s="1" t="s">
        <v>101</v>
      </c>
      <c r="O253">
        <v>7</v>
      </c>
      <c r="P253" s="3">
        <v>44765</v>
      </c>
      <c r="Q253">
        <v>29</v>
      </c>
    </row>
    <row r="254" spans="1:17" x14ac:dyDescent="0.3">
      <c r="A254" s="1" t="s">
        <v>413</v>
      </c>
      <c r="B254" s="2">
        <v>44765.463194444441</v>
      </c>
      <c r="C254" s="1" t="s">
        <v>18</v>
      </c>
      <c r="D254" s="1" t="s">
        <v>41</v>
      </c>
      <c r="E254" s="1" t="s">
        <v>77</v>
      </c>
      <c r="F254" s="1" t="s">
        <v>77</v>
      </c>
      <c r="G254" s="1" t="s">
        <v>77</v>
      </c>
      <c r="H254" s="1" t="s">
        <v>77</v>
      </c>
      <c r="I254" s="1" t="s">
        <v>77</v>
      </c>
      <c r="J254" s="1" t="s">
        <v>42</v>
      </c>
      <c r="K254" s="1" t="s">
        <v>197</v>
      </c>
      <c r="L254">
        <v>20220723110653</v>
      </c>
      <c r="M254" s="1" t="s">
        <v>419</v>
      </c>
      <c r="N254" s="1" t="s">
        <v>101</v>
      </c>
      <c r="O254">
        <v>7</v>
      </c>
      <c r="P254" s="3">
        <v>44765</v>
      </c>
      <c r="Q254">
        <v>29</v>
      </c>
    </row>
    <row r="255" spans="1:17" x14ac:dyDescent="0.3">
      <c r="A255" s="1" t="s">
        <v>420</v>
      </c>
      <c r="B255" s="2">
        <v>44765.463194444441</v>
      </c>
      <c r="C255" s="1" t="s">
        <v>18</v>
      </c>
      <c r="D255" s="1" t="s">
        <v>44</v>
      </c>
      <c r="E255" s="1" t="s">
        <v>77</v>
      </c>
      <c r="F255" s="1" t="s">
        <v>77</v>
      </c>
      <c r="G255" s="1" t="s">
        <v>77</v>
      </c>
      <c r="H255" s="1" t="s">
        <v>77</v>
      </c>
      <c r="I255" s="1" t="s">
        <v>77</v>
      </c>
      <c r="J255" s="1" t="s">
        <v>45</v>
      </c>
      <c r="K255" s="1" t="s">
        <v>421</v>
      </c>
      <c r="L255">
        <v>20220723110710</v>
      </c>
      <c r="M255" s="1" t="s">
        <v>422</v>
      </c>
      <c r="N255" s="1" t="s">
        <v>101</v>
      </c>
      <c r="O255">
        <v>7</v>
      </c>
      <c r="P255" s="3">
        <v>44765</v>
      </c>
      <c r="Q255">
        <v>29</v>
      </c>
    </row>
    <row r="256" spans="1:17" x14ac:dyDescent="0.3">
      <c r="A256" s="1" t="s">
        <v>420</v>
      </c>
      <c r="B256" s="2">
        <v>44765.463194444441</v>
      </c>
      <c r="C256" s="1" t="s">
        <v>18</v>
      </c>
      <c r="D256" s="1" t="s">
        <v>53</v>
      </c>
      <c r="E256" s="1" t="s">
        <v>77</v>
      </c>
      <c r="F256" s="1" t="s">
        <v>77</v>
      </c>
      <c r="G256" s="1" t="s">
        <v>77</v>
      </c>
      <c r="H256" s="1" t="s">
        <v>77</v>
      </c>
      <c r="I256" s="1" t="s">
        <v>77</v>
      </c>
      <c r="J256" s="1" t="s">
        <v>56</v>
      </c>
      <c r="K256" s="1" t="s">
        <v>197</v>
      </c>
      <c r="L256">
        <v>20220723110723</v>
      </c>
      <c r="M256" s="1" t="s">
        <v>423</v>
      </c>
      <c r="N256" s="1" t="s">
        <v>101</v>
      </c>
      <c r="O256">
        <v>7</v>
      </c>
      <c r="P256" s="3">
        <v>44765</v>
      </c>
      <c r="Q256">
        <v>29</v>
      </c>
    </row>
    <row r="257" spans="1:17" x14ac:dyDescent="0.3">
      <c r="A257" s="1" t="s">
        <v>420</v>
      </c>
      <c r="B257" s="2">
        <v>44765.463194444441</v>
      </c>
      <c r="C257" s="1" t="s">
        <v>18</v>
      </c>
      <c r="D257" s="1" t="s">
        <v>19</v>
      </c>
      <c r="E257" s="1" t="s">
        <v>77</v>
      </c>
      <c r="F257" s="1" t="s">
        <v>77</v>
      </c>
      <c r="G257" s="1" t="s">
        <v>77</v>
      </c>
      <c r="H257" s="1" t="s">
        <v>77</v>
      </c>
      <c r="I257" s="1" t="s">
        <v>77</v>
      </c>
      <c r="J257" s="1" t="s">
        <v>58</v>
      </c>
      <c r="K257" s="1" t="s">
        <v>309</v>
      </c>
      <c r="L257">
        <v>20220723110737</v>
      </c>
      <c r="M257" s="1" t="s">
        <v>424</v>
      </c>
      <c r="N257" s="1" t="s">
        <v>101</v>
      </c>
      <c r="O257">
        <v>7</v>
      </c>
      <c r="P257" s="3">
        <v>44765</v>
      </c>
      <c r="Q257">
        <v>29</v>
      </c>
    </row>
    <row r="258" spans="1:17" x14ac:dyDescent="0.3">
      <c r="A258" s="1" t="s">
        <v>425</v>
      </c>
      <c r="B258" s="2">
        <v>44767.395833333336</v>
      </c>
      <c r="C258" s="1" t="s">
        <v>37</v>
      </c>
      <c r="D258" s="1" t="s">
        <v>19</v>
      </c>
      <c r="E258" s="1" t="s">
        <v>58</v>
      </c>
      <c r="F258" s="1" t="s">
        <v>77</v>
      </c>
      <c r="G258" s="1" t="s">
        <v>77</v>
      </c>
      <c r="H258" s="1" t="s">
        <v>77</v>
      </c>
      <c r="I258" s="1" t="s">
        <v>77</v>
      </c>
      <c r="J258" s="1" t="s">
        <v>77</v>
      </c>
      <c r="K258" s="1" t="s">
        <v>77</v>
      </c>
      <c r="L258">
        <v>20220725092955</v>
      </c>
      <c r="M258" s="1" t="s">
        <v>426</v>
      </c>
      <c r="N258" s="1" t="s">
        <v>120</v>
      </c>
      <c r="O258">
        <v>7</v>
      </c>
      <c r="P258" s="3">
        <v>44767</v>
      </c>
      <c r="Q258">
        <v>30</v>
      </c>
    </row>
    <row r="259" spans="1:17" x14ac:dyDescent="0.3">
      <c r="A259" s="1" t="s">
        <v>427</v>
      </c>
      <c r="B259" s="2">
        <v>44767.395833333336</v>
      </c>
      <c r="C259" s="1" t="s">
        <v>37</v>
      </c>
      <c r="D259" s="1" t="s">
        <v>60</v>
      </c>
      <c r="E259" s="1" t="s">
        <v>61</v>
      </c>
      <c r="F259" s="1" t="s">
        <v>77</v>
      </c>
      <c r="G259" s="1" t="s">
        <v>77</v>
      </c>
      <c r="H259" s="1" t="s">
        <v>77</v>
      </c>
      <c r="I259" s="1" t="s">
        <v>77</v>
      </c>
      <c r="J259" s="1" t="s">
        <v>77</v>
      </c>
      <c r="K259" s="1" t="s">
        <v>77</v>
      </c>
      <c r="L259">
        <v>20220725093003</v>
      </c>
      <c r="M259" s="1" t="s">
        <v>428</v>
      </c>
      <c r="N259" s="1" t="s">
        <v>120</v>
      </c>
      <c r="O259">
        <v>7</v>
      </c>
      <c r="P259" s="3">
        <v>44767</v>
      </c>
      <c r="Q259">
        <v>30</v>
      </c>
    </row>
    <row r="260" spans="1:17" x14ac:dyDescent="0.3">
      <c r="A260" s="1" t="s">
        <v>427</v>
      </c>
      <c r="B260" s="2">
        <v>44767.395833333336</v>
      </c>
      <c r="C260" s="1" t="s">
        <v>37</v>
      </c>
      <c r="D260" s="1" t="s">
        <v>29</v>
      </c>
      <c r="E260" s="1" t="s">
        <v>30</v>
      </c>
      <c r="F260" s="1" t="s">
        <v>77</v>
      </c>
      <c r="G260" s="1" t="s">
        <v>77</v>
      </c>
      <c r="H260" s="1" t="s">
        <v>77</v>
      </c>
      <c r="I260" s="1" t="s">
        <v>77</v>
      </c>
      <c r="J260" s="1" t="s">
        <v>77</v>
      </c>
      <c r="K260" s="1" t="s">
        <v>77</v>
      </c>
      <c r="L260">
        <v>20220725093013</v>
      </c>
      <c r="M260" s="1" t="s">
        <v>429</v>
      </c>
      <c r="N260" s="1" t="s">
        <v>120</v>
      </c>
      <c r="O260">
        <v>7</v>
      </c>
      <c r="P260" s="3">
        <v>44767</v>
      </c>
      <c r="Q260">
        <v>30</v>
      </c>
    </row>
    <row r="261" spans="1:17" x14ac:dyDescent="0.3">
      <c r="A261" s="1" t="s">
        <v>427</v>
      </c>
      <c r="B261" s="2">
        <v>44767.395833333336</v>
      </c>
      <c r="C261" s="1" t="s">
        <v>37</v>
      </c>
      <c r="D261" s="1" t="s">
        <v>44</v>
      </c>
      <c r="E261" s="1" t="s">
        <v>45</v>
      </c>
      <c r="F261" s="1" t="s">
        <v>77</v>
      </c>
      <c r="G261" s="1" t="s">
        <v>77</v>
      </c>
      <c r="H261" s="1" t="s">
        <v>77</v>
      </c>
      <c r="I261" s="1" t="s">
        <v>77</v>
      </c>
      <c r="J261" s="1" t="s">
        <v>77</v>
      </c>
      <c r="K261" s="1" t="s">
        <v>77</v>
      </c>
      <c r="L261">
        <v>20220725093023</v>
      </c>
      <c r="M261" s="1" t="s">
        <v>430</v>
      </c>
      <c r="N261" s="1" t="s">
        <v>120</v>
      </c>
      <c r="O261">
        <v>7</v>
      </c>
      <c r="P261" s="3">
        <v>44767</v>
      </c>
      <c r="Q261">
        <v>30</v>
      </c>
    </row>
    <row r="262" spans="1:17" x14ac:dyDescent="0.3">
      <c r="A262" s="1" t="s">
        <v>427</v>
      </c>
      <c r="B262" s="2">
        <v>44767.395833333336</v>
      </c>
      <c r="C262" s="1" t="s">
        <v>37</v>
      </c>
      <c r="D262" s="1" t="s">
        <v>53</v>
      </c>
      <c r="E262" s="1" t="s">
        <v>54</v>
      </c>
      <c r="F262" s="1" t="s">
        <v>77</v>
      </c>
      <c r="G262" s="1" t="s">
        <v>77</v>
      </c>
      <c r="H262" s="1" t="s">
        <v>77</v>
      </c>
      <c r="I262" s="1" t="s">
        <v>77</v>
      </c>
      <c r="J262" s="1" t="s">
        <v>77</v>
      </c>
      <c r="K262" s="1" t="s">
        <v>77</v>
      </c>
      <c r="L262">
        <v>20220725093033</v>
      </c>
      <c r="M262" s="1" t="s">
        <v>431</v>
      </c>
      <c r="N262" s="1" t="s">
        <v>120</v>
      </c>
      <c r="O262">
        <v>7</v>
      </c>
      <c r="P262" s="3">
        <v>44767</v>
      </c>
      <c r="Q262">
        <v>30</v>
      </c>
    </row>
    <row r="263" spans="1:17" x14ac:dyDescent="0.3">
      <c r="A263" s="1" t="s">
        <v>427</v>
      </c>
      <c r="B263" s="2">
        <v>44767.395833333336</v>
      </c>
      <c r="C263" s="1" t="s">
        <v>37</v>
      </c>
      <c r="D263" s="1" t="s">
        <v>38</v>
      </c>
      <c r="E263" s="1" t="s">
        <v>39</v>
      </c>
      <c r="F263" s="1" t="s">
        <v>77</v>
      </c>
      <c r="G263" s="1" t="s">
        <v>77</v>
      </c>
      <c r="H263" s="1" t="s">
        <v>77</v>
      </c>
      <c r="I263" s="1" t="s">
        <v>77</v>
      </c>
      <c r="J263" s="1" t="s">
        <v>77</v>
      </c>
      <c r="K263" s="1" t="s">
        <v>77</v>
      </c>
      <c r="L263">
        <v>20220725093040</v>
      </c>
      <c r="M263" s="1" t="s">
        <v>432</v>
      </c>
      <c r="N263" s="1" t="s">
        <v>120</v>
      </c>
      <c r="O263">
        <v>7</v>
      </c>
      <c r="P263" s="3">
        <v>44767</v>
      </c>
      <c r="Q263">
        <v>30</v>
      </c>
    </row>
    <row r="264" spans="1:17" x14ac:dyDescent="0.3">
      <c r="A264" s="1" t="s">
        <v>427</v>
      </c>
      <c r="B264" s="2">
        <v>44767.395833333336</v>
      </c>
      <c r="C264" s="1" t="s">
        <v>37</v>
      </c>
      <c r="D264" s="1" t="s">
        <v>41</v>
      </c>
      <c r="E264" s="1" t="s">
        <v>42</v>
      </c>
      <c r="F264" s="1" t="s">
        <v>77</v>
      </c>
      <c r="G264" s="1" t="s">
        <v>77</v>
      </c>
      <c r="H264" s="1" t="s">
        <v>77</v>
      </c>
      <c r="I264" s="1" t="s">
        <v>77</v>
      </c>
      <c r="J264" s="1" t="s">
        <v>77</v>
      </c>
      <c r="K264" s="1" t="s">
        <v>77</v>
      </c>
      <c r="L264">
        <v>20220725093049</v>
      </c>
      <c r="M264" s="1" t="s">
        <v>433</v>
      </c>
      <c r="N264" s="1" t="s">
        <v>120</v>
      </c>
      <c r="O264">
        <v>7</v>
      </c>
      <c r="P264" s="3">
        <v>44767</v>
      </c>
      <c r="Q264">
        <v>30</v>
      </c>
    </row>
    <row r="265" spans="1:17" x14ac:dyDescent="0.3">
      <c r="A265" s="1" t="s">
        <v>427</v>
      </c>
      <c r="B265" s="2">
        <v>44767.396527777775</v>
      </c>
      <c r="C265" s="1" t="s">
        <v>434</v>
      </c>
      <c r="D265" s="1" t="s">
        <v>47</v>
      </c>
      <c r="E265" s="1" t="s">
        <v>77</v>
      </c>
      <c r="F265" s="1" t="s">
        <v>77</v>
      </c>
      <c r="G265" s="1" t="s">
        <v>77</v>
      </c>
      <c r="H265" s="1" t="s">
        <v>51</v>
      </c>
      <c r="I265" s="1" t="s">
        <v>435</v>
      </c>
      <c r="J265" s="1" t="s">
        <v>77</v>
      </c>
      <c r="K265" s="1" t="s">
        <v>77</v>
      </c>
      <c r="L265">
        <v>20220725093057</v>
      </c>
      <c r="M265" s="1" t="s">
        <v>436</v>
      </c>
      <c r="N265" s="1" t="s">
        <v>120</v>
      </c>
      <c r="O265">
        <v>7</v>
      </c>
      <c r="P265" s="3">
        <v>44767</v>
      </c>
      <c r="Q265">
        <v>30</v>
      </c>
    </row>
    <row r="266" spans="1:17" x14ac:dyDescent="0.3">
      <c r="A266" s="1" t="s">
        <v>437</v>
      </c>
      <c r="B266" s="2">
        <v>44767.398611111108</v>
      </c>
      <c r="C266" s="1" t="s">
        <v>37</v>
      </c>
      <c r="D266" s="1" t="s">
        <v>47</v>
      </c>
      <c r="E266" s="1" t="s">
        <v>48</v>
      </c>
      <c r="F266" s="1" t="s">
        <v>77</v>
      </c>
      <c r="G266" s="1" t="s">
        <v>77</v>
      </c>
      <c r="H266" s="1" t="s">
        <v>77</v>
      </c>
      <c r="I266" s="1" t="s">
        <v>77</v>
      </c>
      <c r="J266" s="1" t="s">
        <v>77</v>
      </c>
      <c r="K266" s="1" t="s">
        <v>77</v>
      </c>
      <c r="L266">
        <v>20220725093418</v>
      </c>
      <c r="M266" s="1" t="s">
        <v>438</v>
      </c>
      <c r="N266" s="1" t="s">
        <v>120</v>
      </c>
      <c r="O266">
        <v>7</v>
      </c>
      <c r="P266" s="3">
        <v>44767</v>
      </c>
      <c r="Q266">
        <v>30</v>
      </c>
    </row>
    <row r="267" spans="1:17" x14ac:dyDescent="0.3">
      <c r="A267" s="1" t="s">
        <v>439</v>
      </c>
      <c r="B267" s="2">
        <v>44767.450694444444</v>
      </c>
      <c r="C267" s="1" t="s">
        <v>37</v>
      </c>
      <c r="D267" s="1" t="s">
        <v>53</v>
      </c>
      <c r="E267" s="1" t="s">
        <v>56</v>
      </c>
      <c r="F267" s="1" t="s">
        <v>77</v>
      </c>
      <c r="G267" s="1" t="s">
        <v>77</v>
      </c>
      <c r="H267" s="1" t="s">
        <v>77</v>
      </c>
      <c r="I267" s="1" t="s">
        <v>77</v>
      </c>
      <c r="J267" s="1" t="s">
        <v>77</v>
      </c>
      <c r="K267" s="1" t="s">
        <v>77</v>
      </c>
      <c r="L267">
        <v>20220725104943</v>
      </c>
      <c r="M267" s="1" t="s">
        <v>440</v>
      </c>
      <c r="N267" s="1" t="s">
        <v>120</v>
      </c>
      <c r="O267">
        <v>7</v>
      </c>
      <c r="P267" s="3">
        <v>44767</v>
      </c>
      <c r="Q267">
        <v>30</v>
      </c>
    </row>
    <row r="268" spans="1:17" x14ac:dyDescent="0.3">
      <c r="A268" s="1" t="s">
        <v>439</v>
      </c>
      <c r="B268" s="2">
        <v>44767.451388888891</v>
      </c>
      <c r="C268" s="1" t="s">
        <v>37</v>
      </c>
      <c r="D268" s="1" t="s">
        <v>195</v>
      </c>
      <c r="E268" s="1" t="s">
        <v>21</v>
      </c>
      <c r="F268" s="1" t="s">
        <v>77</v>
      </c>
      <c r="G268" s="1" t="s">
        <v>77</v>
      </c>
      <c r="H268" s="1" t="s">
        <v>77</v>
      </c>
      <c r="I268" s="1" t="s">
        <v>77</v>
      </c>
      <c r="J268" s="1" t="s">
        <v>77</v>
      </c>
      <c r="K268" s="1" t="s">
        <v>77</v>
      </c>
      <c r="L268">
        <v>20220725104957</v>
      </c>
      <c r="M268" s="1" t="s">
        <v>441</v>
      </c>
      <c r="N268" s="1" t="s">
        <v>120</v>
      </c>
      <c r="O268">
        <v>7</v>
      </c>
      <c r="P268" s="3">
        <v>44767</v>
      </c>
      <c r="Q268">
        <v>30</v>
      </c>
    </row>
    <row r="269" spans="1:17" x14ac:dyDescent="0.3">
      <c r="A269" s="1" t="s">
        <v>442</v>
      </c>
      <c r="B269" s="2">
        <v>44767.451388888891</v>
      </c>
      <c r="C269" s="1" t="s">
        <v>37</v>
      </c>
      <c r="D269" s="1" t="s">
        <v>26</v>
      </c>
      <c r="E269" s="1" t="s">
        <v>27</v>
      </c>
      <c r="F269" s="1" t="s">
        <v>77</v>
      </c>
      <c r="G269" s="1" t="s">
        <v>77</v>
      </c>
      <c r="H269" s="1" t="s">
        <v>77</v>
      </c>
      <c r="I269" s="1" t="s">
        <v>77</v>
      </c>
      <c r="J269" s="1" t="s">
        <v>77</v>
      </c>
      <c r="K269" s="1" t="s">
        <v>77</v>
      </c>
      <c r="L269">
        <v>20220725105006</v>
      </c>
      <c r="M269" s="1" t="s">
        <v>443</v>
      </c>
      <c r="N269" s="1" t="s">
        <v>120</v>
      </c>
      <c r="O269">
        <v>7</v>
      </c>
      <c r="P269" s="3">
        <v>44767</v>
      </c>
      <c r="Q269">
        <v>30</v>
      </c>
    </row>
    <row r="270" spans="1:17" x14ac:dyDescent="0.3">
      <c r="A270" s="1" t="s">
        <v>442</v>
      </c>
      <c r="B270" s="2">
        <v>44767.451388888891</v>
      </c>
      <c r="C270" s="1" t="s">
        <v>18</v>
      </c>
      <c r="D270" s="1" t="s">
        <v>29</v>
      </c>
      <c r="E270" s="1" t="s">
        <v>77</v>
      </c>
      <c r="F270" s="1" t="s">
        <v>77</v>
      </c>
      <c r="G270" s="1" t="s">
        <v>77</v>
      </c>
      <c r="H270" s="1" t="s">
        <v>77</v>
      </c>
      <c r="I270" s="1" t="s">
        <v>77</v>
      </c>
      <c r="J270" s="1" t="s">
        <v>34</v>
      </c>
      <c r="K270" s="1" t="s">
        <v>171</v>
      </c>
      <c r="L270">
        <v>20220725105014</v>
      </c>
      <c r="M270" s="1" t="s">
        <v>444</v>
      </c>
      <c r="N270" s="1" t="s">
        <v>120</v>
      </c>
      <c r="O270">
        <v>7</v>
      </c>
      <c r="P270" s="3">
        <v>44767</v>
      </c>
      <c r="Q270">
        <v>30</v>
      </c>
    </row>
    <row r="271" spans="1:17" x14ac:dyDescent="0.3">
      <c r="A271" s="1" t="s">
        <v>445</v>
      </c>
      <c r="B271" s="2">
        <v>44768.397222222222</v>
      </c>
      <c r="C271" s="1" t="s">
        <v>37</v>
      </c>
      <c r="D271" s="1" t="s">
        <v>19</v>
      </c>
      <c r="E271" s="1" t="s">
        <v>58</v>
      </c>
      <c r="F271" s="1" t="s">
        <v>77</v>
      </c>
      <c r="G271" s="1" t="s">
        <v>77</v>
      </c>
      <c r="H271" s="1" t="s">
        <v>77</v>
      </c>
      <c r="I271" s="1" t="s">
        <v>77</v>
      </c>
      <c r="J271" s="1" t="s">
        <v>77</v>
      </c>
      <c r="K271" s="1" t="s">
        <v>77</v>
      </c>
      <c r="L271">
        <v>20220726093110</v>
      </c>
      <c r="M271" s="1" t="s">
        <v>446</v>
      </c>
      <c r="N271" s="1" t="s">
        <v>140</v>
      </c>
      <c r="O271">
        <v>7</v>
      </c>
      <c r="P271" s="3">
        <v>44768</v>
      </c>
      <c r="Q271">
        <v>30</v>
      </c>
    </row>
    <row r="272" spans="1:17" x14ac:dyDescent="0.3">
      <c r="A272" s="1" t="s">
        <v>447</v>
      </c>
      <c r="B272" s="2">
        <v>44768.397222222222</v>
      </c>
      <c r="C272" s="1" t="s">
        <v>37</v>
      </c>
      <c r="D272" s="1" t="s">
        <v>60</v>
      </c>
      <c r="E272" s="1" t="s">
        <v>61</v>
      </c>
      <c r="F272" s="1" t="s">
        <v>77</v>
      </c>
      <c r="G272" s="1" t="s">
        <v>77</v>
      </c>
      <c r="H272" s="1" t="s">
        <v>77</v>
      </c>
      <c r="I272" s="1" t="s">
        <v>77</v>
      </c>
      <c r="J272" s="1" t="s">
        <v>77</v>
      </c>
      <c r="K272" s="1" t="s">
        <v>77</v>
      </c>
      <c r="L272">
        <v>20220726093251</v>
      </c>
      <c r="M272" s="1" t="s">
        <v>448</v>
      </c>
      <c r="N272" s="1" t="s">
        <v>140</v>
      </c>
      <c r="O272">
        <v>7</v>
      </c>
      <c r="P272" s="3">
        <v>44768</v>
      </c>
      <c r="Q272">
        <v>30</v>
      </c>
    </row>
    <row r="273" spans="1:17" x14ac:dyDescent="0.3">
      <c r="A273" s="1" t="s">
        <v>449</v>
      </c>
      <c r="B273" s="2">
        <v>44768.397916666669</v>
      </c>
      <c r="C273" s="1" t="s">
        <v>37</v>
      </c>
      <c r="D273" s="1" t="s">
        <v>29</v>
      </c>
      <c r="E273" s="1" t="s">
        <v>30</v>
      </c>
      <c r="F273" s="1" t="s">
        <v>77</v>
      </c>
      <c r="G273" s="1" t="s">
        <v>77</v>
      </c>
      <c r="H273" s="1" t="s">
        <v>77</v>
      </c>
      <c r="I273" s="1" t="s">
        <v>77</v>
      </c>
      <c r="J273" s="1" t="s">
        <v>77</v>
      </c>
      <c r="K273" s="1" t="s">
        <v>77</v>
      </c>
      <c r="L273">
        <v>20220726093300</v>
      </c>
      <c r="M273" s="1" t="s">
        <v>450</v>
      </c>
      <c r="N273" s="1" t="s">
        <v>140</v>
      </c>
      <c r="O273">
        <v>7</v>
      </c>
      <c r="P273" s="3">
        <v>44768</v>
      </c>
      <c r="Q273">
        <v>30</v>
      </c>
    </row>
    <row r="274" spans="1:17" x14ac:dyDescent="0.3">
      <c r="A274" s="1" t="s">
        <v>449</v>
      </c>
      <c r="B274" s="2">
        <v>44768.397916666669</v>
      </c>
      <c r="C274" s="1" t="s">
        <v>37</v>
      </c>
      <c r="D274" s="1" t="s">
        <v>44</v>
      </c>
      <c r="E274" s="1" t="s">
        <v>45</v>
      </c>
      <c r="F274" s="1" t="s">
        <v>77</v>
      </c>
      <c r="G274" s="1" t="s">
        <v>77</v>
      </c>
      <c r="H274" s="1" t="s">
        <v>77</v>
      </c>
      <c r="I274" s="1" t="s">
        <v>77</v>
      </c>
      <c r="J274" s="1" t="s">
        <v>77</v>
      </c>
      <c r="K274" s="1" t="s">
        <v>77</v>
      </c>
      <c r="L274">
        <v>20220726093309</v>
      </c>
      <c r="M274" s="1" t="s">
        <v>451</v>
      </c>
      <c r="N274" s="1" t="s">
        <v>140</v>
      </c>
      <c r="O274">
        <v>7</v>
      </c>
      <c r="P274" s="3">
        <v>44768</v>
      </c>
      <c r="Q274">
        <v>30</v>
      </c>
    </row>
    <row r="275" spans="1:17" x14ac:dyDescent="0.3">
      <c r="A275" s="1" t="s">
        <v>449</v>
      </c>
      <c r="B275" s="2">
        <v>44768.397916666669</v>
      </c>
      <c r="C275" s="1" t="s">
        <v>37</v>
      </c>
      <c r="D275" s="1" t="s">
        <v>53</v>
      </c>
      <c r="E275" s="1" t="s">
        <v>54</v>
      </c>
      <c r="F275" s="1" t="s">
        <v>77</v>
      </c>
      <c r="G275" s="1" t="s">
        <v>77</v>
      </c>
      <c r="H275" s="1" t="s">
        <v>77</v>
      </c>
      <c r="I275" s="1" t="s">
        <v>77</v>
      </c>
      <c r="J275" s="1" t="s">
        <v>77</v>
      </c>
      <c r="K275" s="1" t="s">
        <v>77</v>
      </c>
      <c r="L275">
        <v>20220726093317</v>
      </c>
      <c r="M275" s="1" t="s">
        <v>452</v>
      </c>
      <c r="N275" s="1" t="s">
        <v>140</v>
      </c>
      <c r="O275">
        <v>7</v>
      </c>
      <c r="P275" s="3">
        <v>44768</v>
      </c>
      <c r="Q275">
        <v>30</v>
      </c>
    </row>
    <row r="276" spans="1:17" x14ac:dyDescent="0.3">
      <c r="A276" s="1" t="s">
        <v>453</v>
      </c>
      <c r="B276" s="2">
        <v>44768.4</v>
      </c>
      <c r="C276" s="1" t="s">
        <v>434</v>
      </c>
      <c r="D276" s="1" t="s">
        <v>47</v>
      </c>
      <c r="E276" s="1" t="s">
        <v>77</v>
      </c>
      <c r="F276" s="1" t="s">
        <v>77</v>
      </c>
      <c r="G276" s="1" t="s">
        <v>77</v>
      </c>
      <c r="H276" s="1" t="s">
        <v>51</v>
      </c>
      <c r="I276" s="1" t="s">
        <v>435</v>
      </c>
      <c r="J276" s="1" t="s">
        <v>77</v>
      </c>
      <c r="K276" s="1" t="s">
        <v>77</v>
      </c>
      <c r="L276">
        <v>20220726093514</v>
      </c>
      <c r="M276" s="1" t="s">
        <v>454</v>
      </c>
      <c r="N276" s="1" t="s">
        <v>140</v>
      </c>
      <c r="O276">
        <v>7</v>
      </c>
      <c r="P276" s="3">
        <v>44768</v>
      </c>
      <c r="Q276">
        <v>30</v>
      </c>
    </row>
    <row r="277" spans="1:17" x14ac:dyDescent="0.3">
      <c r="A277" s="1" t="s">
        <v>455</v>
      </c>
      <c r="B277" s="2">
        <v>44768.414583333331</v>
      </c>
      <c r="C277" s="1" t="s">
        <v>37</v>
      </c>
      <c r="D277" s="1" t="s">
        <v>38</v>
      </c>
      <c r="E277" s="1" t="s">
        <v>39</v>
      </c>
      <c r="F277" s="1" t="s">
        <v>77</v>
      </c>
      <c r="G277" s="1" t="s">
        <v>77</v>
      </c>
      <c r="H277" s="1" t="s">
        <v>77</v>
      </c>
      <c r="I277" s="1" t="s">
        <v>77</v>
      </c>
      <c r="J277" s="1" t="s">
        <v>77</v>
      </c>
      <c r="K277" s="1" t="s">
        <v>77</v>
      </c>
      <c r="L277">
        <v>20220726095721</v>
      </c>
      <c r="M277" s="1" t="s">
        <v>456</v>
      </c>
      <c r="N277" s="1" t="s">
        <v>140</v>
      </c>
      <c r="O277">
        <v>7</v>
      </c>
      <c r="P277" s="3">
        <v>44768</v>
      </c>
      <c r="Q277">
        <v>30</v>
      </c>
    </row>
    <row r="278" spans="1:17" x14ac:dyDescent="0.3">
      <c r="A278" s="1" t="s">
        <v>455</v>
      </c>
      <c r="B278" s="2">
        <v>44768.414583333331</v>
      </c>
      <c r="C278" s="1" t="s">
        <v>37</v>
      </c>
      <c r="D278" s="1" t="s">
        <v>47</v>
      </c>
      <c r="E278" s="1" t="s">
        <v>48</v>
      </c>
      <c r="F278" s="1" t="s">
        <v>77</v>
      </c>
      <c r="G278" s="1" t="s">
        <v>77</v>
      </c>
      <c r="H278" s="1" t="s">
        <v>77</v>
      </c>
      <c r="I278" s="1" t="s">
        <v>77</v>
      </c>
      <c r="J278" s="1" t="s">
        <v>77</v>
      </c>
      <c r="K278" s="1" t="s">
        <v>77</v>
      </c>
      <c r="L278">
        <v>20220726095730</v>
      </c>
      <c r="M278" s="1" t="s">
        <v>457</v>
      </c>
      <c r="N278" s="1" t="s">
        <v>140</v>
      </c>
      <c r="O278">
        <v>7</v>
      </c>
      <c r="P278" s="3">
        <v>44768</v>
      </c>
      <c r="Q278">
        <v>30</v>
      </c>
    </row>
    <row r="279" spans="1:17" x14ac:dyDescent="0.3">
      <c r="A279" s="1" t="s">
        <v>455</v>
      </c>
      <c r="B279" s="2">
        <v>44768.414583333331</v>
      </c>
      <c r="C279" s="1" t="s">
        <v>37</v>
      </c>
      <c r="D279" s="1" t="s">
        <v>41</v>
      </c>
      <c r="E279" s="1" t="s">
        <v>42</v>
      </c>
      <c r="F279" s="1" t="s">
        <v>77</v>
      </c>
      <c r="G279" s="1" t="s">
        <v>77</v>
      </c>
      <c r="H279" s="1" t="s">
        <v>77</v>
      </c>
      <c r="I279" s="1" t="s">
        <v>77</v>
      </c>
      <c r="J279" s="1" t="s">
        <v>77</v>
      </c>
      <c r="K279" s="1" t="s">
        <v>77</v>
      </c>
      <c r="L279">
        <v>20220726095743</v>
      </c>
      <c r="M279" s="1" t="s">
        <v>458</v>
      </c>
      <c r="N279" s="1" t="s">
        <v>140</v>
      </c>
      <c r="O279">
        <v>7</v>
      </c>
      <c r="P279" s="3">
        <v>44768</v>
      </c>
      <c r="Q279">
        <v>30</v>
      </c>
    </row>
    <row r="280" spans="1:17" x14ac:dyDescent="0.3">
      <c r="A280" s="1" t="s">
        <v>455</v>
      </c>
      <c r="B280" s="2">
        <v>44768.414583333331</v>
      </c>
      <c r="C280" s="1" t="s">
        <v>37</v>
      </c>
      <c r="D280" s="1" t="s">
        <v>26</v>
      </c>
      <c r="E280" s="1" t="s">
        <v>27</v>
      </c>
      <c r="F280" s="1" t="s">
        <v>77</v>
      </c>
      <c r="G280" s="1" t="s">
        <v>77</v>
      </c>
      <c r="H280" s="1" t="s">
        <v>77</v>
      </c>
      <c r="I280" s="1" t="s">
        <v>77</v>
      </c>
      <c r="J280" s="1" t="s">
        <v>77</v>
      </c>
      <c r="K280" s="1" t="s">
        <v>77</v>
      </c>
      <c r="L280">
        <v>20220726095752</v>
      </c>
      <c r="M280" s="1" t="s">
        <v>459</v>
      </c>
      <c r="N280" s="1" t="s">
        <v>140</v>
      </c>
      <c r="O280">
        <v>7</v>
      </c>
      <c r="P280" s="3">
        <v>44768</v>
      </c>
      <c r="Q280">
        <v>30</v>
      </c>
    </row>
    <row r="281" spans="1:17" x14ac:dyDescent="0.3">
      <c r="A281" s="1" t="s">
        <v>460</v>
      </c>
      <c r="B281" s="2">
        <v>44768.415277777778</v>
      </c>
      <c r="C281" s="1" t="s">
        <v>37</v>
      </c>
      <c r="D281" s="1" t="s">
        <v>195</v>
      </c>
      <c r="E281" s="1" t="s">
        <v>21</v>
      </c>
      <c r="F281" s="1" t="s">
        <v>77</v>
      </c>
      <c r="G281" s="1" t="s">
        <v>77</v>
      </c>
      <c r="H281" s="1" t="s">
        <v>77</v>
      </c>
      <c r="I281" s="1" t="s">
        <v>77</v>
      </c>
      <c r="J281" s="1" t="s">
        <v>77</v>
      </c>
      <c r="K281" s="1" t="s">
        <v>77</v>
      </c>
      <c r="L281">
        <v>20220726095803</v>
      </c>
      <c r="M281" s="1" t="s">
        <v>461</v>
      </c>
      <c r="N281" s="1" t="s">
        <v>140</v>
      </c>
      <c r="O281">
        <v>7</v>
      </c>
      <c r="P281" s="3">
        <v>44768</v>
      </c>
      <c r="Q281">
        <v>30</v>
      </c>
    </row>
    <row r="282" spans="1:17" x14ac:dyDescent="0.3">
      <c r="A282" s="1" t="s">
        <v>460</v>
      </c>
      <c r="B282" s="2">
        <v>44768.415277777778</v>
      </c>
      <c r="C282" s="1" t="s">
        <v>18</v>
      </c>
      <c r="D282" s="1" t="s">
        <v>29</v>
      </c>
      <c r="E282" s="1" t="s">
        <v>77</v>
      </c>
      <c r="F282" s="1" t="s">
        <v>77</v>
      </c>
      <c r="G282" s="1" t="s">
        <v>77</v>
      </c>
      <c r="H282" s="1" t="s">
        <v>77</v>
      </c>
      <c r="I282" s="1" t="s">
        <v>77</v>
      </c>
      <c r="J282" s="1" t="s">
        <v>34</v>
      </c>
      <c r="K282" s="1" t="s">
        <v>171</v>
      </c>
      <c r="L282">
        <v>20220726095810</v>
      </c>
      <c r="M282" s="1" t="s">
        <v>462</v>
      </c>
      <c r="N282" s="1" t="s">
        <v>140</v>
      </c>
      <c r="O282">
        <v>7</v>
      </c>
      <c r="P282" s="3">
        <v>44768</v>
      </c>
      <c r="Q282">
        <v>30</v>
      </c>
    </row>
    <row r="283" spans="1:17" x14ac:dyDescent="0.3">
      <c r="A283" s="1" t="s">
        <v>460</v>
      </c>
      <c r="B283" s="2">
        <v>44768.415277777778</v>
      </c>
      <c r="C283" s="1" t="s">
        <v>37</v>
      </c>
      <c r="D283" s="1" t="s">
        <v>53</v>
      </c>
      <c r="E283" s="1" t="s">
        <v>56</v>
      </c>
      <c r="F283" s="1" t="s">
        <v>77</v>
      </c>
      <c r="G283" s="1" t="s">
        <v>77</v>
      </c>
      <c r="H283" s="1" t="s">
        <v>77</v>
      </c>
      <c r="I283" s="1" t="s">
        <v>77</v>
      </c>
      <c r="J283" s="1" t="s">
        <v>20</v>
      </c>
      <c r="K283" s="1" t="s">
        <v>20</v>
      </c>
      <c r="L283">
        <v>20220726095822</v>
      </c>
      <c r="M283" s="1" t="s">
        <v>463</v>
      </c>
      <c r="N283" s="1" t="s">
        <v>140</v>
      </c>
      <c r="O283">
        <v>7</v>
      </c>
      <c r="P283" s="3">
        <v>44768</v>
      </c>
      <c r="Q283">
        <v>30</v>
      </c>
    </row>
    <row r="284" spans="1:17" x14ac:dyDescent="0.3">
      <c r="A284" s="1" t="s">
        <v>464</v>
      </c>
      <c r="B284" s="2">
        <v>44769.597916666666</v>
      </c>
      <c r="C284" s="1" t="s">
        <v>37</v>
      </c>
      <c r="D284" s="1" t="s">
        <v>38</v>
      </c>
      <c r="E284" s="1" t="s">
        <v>39</v>
      </c>
      <c r="F284" s="1" t="s">
        <v>77</v>
      </c>
      <c r="G284" s="1" t="s">
        <v>77</v>
      </c>
      <c r="H284" s="1" t="s">
        <v>77</v>
      </c>
      <c r="I284" s="1" t="s">
        <v>77</v>
      </c>
      <c r="J284" s="1" t="s">
        <v>77</v>
      </c>
      <c r="K284" s="1" t="s">
        <v>77</v>
      </c>
      <c r="L284">
        <v>20220727142102</v>
      </c>
      <c r="M284" s="1" t="s">
        <v>465</v>
      </c>
      <c r="N284" s="1" t="s">
        <v>24</v>
      </c>
      <c r="O284">
        <v>7</v>
      </c>
      <c r="P284" s="3">
        <v>44769</v>
      </c>
      <c r="Q284">
        <v>30</v>
      </c>
    </row>
    <row r="285" spans="1:17" x14ac:dyDescent="0.3">
      <c r="A285" s="1" t="s">
        <v>464</v>
      </c>
      <c r="B285" s="2">
        <v>44769.597916666666</v>
      </c>
      <c r="C285" s="1" t="s">
        <v>37</v>
      </c>
      <c r="D285" s="1" t="s">
        <v>26</v>
      </c>
      <c r="E285" s="1" t="s">
        <v>27</v>
      </c>
      <c r="F285" s="1" t="s">
        <v>77</v>
      </c>
      <c r="G285" s="1" t="s">
        <v>77</v>
      </c>
      <c r="H285" s="1" t="s">
        <v>77</v>
      </c>
      <c r="I285" s="1" t="s">
        <v>77</v>
      </c>
      <c r="J285" s="1" t="s">
        <v>77</v>
      </c>
      <c r="K285" s="1" t="s">
        <v>77</v>
      </c>
      <c r="L285">
        <v>20220727142111</v>
      </c>
      <c r="M285" s="1" t="s">
        <v>466</v>
      </c>
      <c r="N285" s="1" t="s">
        <v>24</v>
      </c>
      <c r="O285">
        <v>7</v>
      </c>
      <c r="P285" s="3">
        <v>44769</v>
      </c>
      <c r="Q285">
        <v>30</v>
      </c>
    </row>
    <row r="286" spans="1:17" x14ac:dyDescent="0.3">
      <c r="A286" s="1" t="s">
        <v>464</v>
      </c>
      <c r="B286" s="2">
        <v>44769.597916666666</v>
      </c>
      <c r="C286" s="1" t="s">
        <v>37</v>
      </c>
      <c r="D286" s="1" t="s">
        <v>195</v>
      </c>
      <c r="E286" s="1" t="s">
        <v>21</v>
      </c>
      <c r="F286" s="1" t="s">
        <v>77</v>
      </c>
      <c r="G286" s="1" t="s">
        <v>77</v>
      </c>
      <c r="H286" s="1" t="s">
        <v>77</v>
      </c>
      <c r="I286" s="1" t="s">
        <v>77</v>
      </c>
      <c r="J286" s="1" t="s">
        <v>77</v>
      </c>
      <c r="K286" s="1" t="s">
        <v>77</v>
      </c>
      <c r="L286">
        <v>20220727142119</v>
      </c>
      <c r="M286" s="1" t="s">
        <v>467</v>
      </c>
      <c r="N286" s="1" t="s">
        <v>24</v>
      </c>
      <c r="O286">
        <v>7</v>
      </c>
      <c r="P286" s="3">
        <v>44769</v>
      </c>
      <c r="Q286">
        <v>30</v>
      </c>
    </row>
    <row r="287" spans="1:17" x14ac:dyDescent="0.3">
      <c r="A287" s="1" t="s">
        <v>464</v>
      </c>
      <c r="B287" s="2">
        <v>44769.597916666666</v>
      </c>
      <c r="C287" s="1" t="s">
        <v>37</v>
      </c>
      <c r="D287" s="1" t="s">
        <v>41</v>
      </c>
      <c r="E287" s="1" t="s">
        <v>42</v>
      </c>
      <c r="F287" s="1" t="s">
        <v>77</v>
      </c>
      <c r="G287" s="1" t="s">
        <v>77</v>
      </c>
      <c r="H287" s="1" t="s">
        <v>77</v>
      </c>
      <c r="I287" s="1" t="s">
        <v>77</v>
      </c>
      <c r="J287" s="1" t="s">
        <v>77</v>
      </c>
      <c r="K287" s="1" t="s">
        <v>77</v>
      </c>
      <c r="L287">
        <v>20220727142129</v>
      </c>
      <c r="M287" s="1" t="s">
        <v>468</v>
      </c>
      <c r="N287" s="1" t="s">
        <v>24</v>
      </c>
      <c r="O287">
        <v>7</v>
      </c>
      <c r="P287" s="3">
        <v>44769</v>
      </c>
      <c r="Q287">
        <v>30</v>
      </c>
    </row>
    <row r="288" spans="1:17" x14ac:dyDescent="0.3">
      <c r="A288" s="1" t="s">
        <v>464</v>
      </c>
      <c r="B288" s="2">
        <v>44769.597916666666</v>
      </c>
      <c r="C288" s="1" t="s">
        <v>37</v>
      </c>
      <c r="D288" s="1" t="s">
        <v>44</v>
      </c>
      <c r="E288" s="1" t="s">
        <v>45</v>
      </c>
      <c r="F288" s="1" t="s">
        <v>77</v>
      </c>
      <c r="G288" s="1" t="s">
        <v>77</v>
      </c>
      <c r="H288" s="1" t="s">
        <v>77</v>
      </c>
      <c r="I288" s="1" t="s">
        <v>77</v>
      </c>
      <c r="J288" s="1" t="s">
        <v>77</v>
      </c>
      <c r="K288" s="1" t="s">
        <v>77</v>
      </c>
      <c r="L288">
        <v>20220727142138</v>
      </c>
      <c r="M288" s="1" t="s">
        <v>469</v>
      </c>
      <c r="N288" s="1" t="s">
        <v>24</v>
      </c>
      <c r="O288">
        <v>7</v>
      </c>
      <c r="P288" s="3">
        <v>44769</v>
      </c>
      <c r="Q288">
        <v>30</v>
      </c>
    </row>
    <row r="289" spans="1:17" x14ac:dyDescent="0.3">
      <c r="A289" s="1" t="s">
        <v>464</v>
      </c>
      <c r="B289" s="2">
        <v>44769.597916666666</v>
      </c>
      <c r="C289" s="1" t="s">
        <v>37</v>
      </c>
      <c r="D289" s="1" t="s">
        <v>47</v>
      </c>
      <c r="E289" s="1" t="s">
        <v>48</v>
      </c>
      <c r="F289" s="1" t="s">
        <v>77</v>
      </c>
      <c r="G289" s="1" t="s">
        <v>77</v>
      </c>
      <c r="H289" s="1" t="s">
        <v>77</v>
      </c>
      <c r="I289" s="1" t="s">
        <v>77</v>
      </c>
      <c r="J289" s="1" t="s">
        <v>77</v>
      </c>
      <c r="K289" s="1" t="s">
        <v>77</v>
      </c>
      <c r="L289">
        <v>20220727142146</v>
      </c>
      <c r="M289" s="1" t="s">
        <v>470</v>
      </c>
      <c r="N289" s="1" t="s">
        <v>24</v>
      </c>
      <c r="O289">
        <v>7</v>
      </c>
      <c r="P289" s="3">
        <v>44769</v>
      </c>
      <c r="Q289">
        <v>30</v>
      </c>
    </row>
    <row r="290" spans="1:17" x14ac:dyDescent="0.3">
      <c r="A290" s="1" t="s">
        <v>464</v>
      </c>
      <c r="B290" s="2">
        <v>44769.598611111112</v>
      </c>
      <c r="C290" s="1" t="s">
        <v>37</v>
      </c>
      <c r="D290" s="1" t="s">
        <v>53</v>
      </c>
      <c r="E290" s="1" t="s">
        <v>54</v>
      </c>
      <c r="F290" s="1" t="s">
        <v>77</v>
      </c>
      <c r="G290" s="1" t="s">
        <v>77</v>
      </c>
      <c r="H290" s="1" t="s">
        <v>77</v>
      </c>
      <c r="I290" s="1" t="s">
        <v>77</v>
      </c>
      <c r="J290" s="1" t="s">
        <v>77</v>
      </c>
      <c r="K290" s="1" t="s">
        <v>77</v>
      </c>
      <c r="L290">
        <v>20220727142157</v>
      </c>
      <c r="M290" s="1" t="s">
        <v>471</v>
      </c>
      <c r="N290" s="1" t="s">
        <v>24</v>
      </c>
      <c r="O290">
        <v>7</v>
      </c>
      <c r="P290" s="3">
        <v>44769</v>
      </c>
      <c r="Q290">
        <v>30</v>
      </c>
    </row>
    <row r="291" spans="1:17" x14ac:dyDescent="0.3">
      <c r="A291" s="1" t="s">
        <v>472</v>
      </c>
      <c r="B291" s="2">
        <v>44769.598611111112</v>
      </c>
      <c r="C291" s="1" t="s">
        <v>37</v>
      </c>
      <c r="D291" s="1" t="s">
        <v>53</v>
      </c>
      <c r="E291" s="1" t="s">
        <v>56</v>
      </c>
      <c r="F291" s="1" t="s">
        <v>77</v>
      </c>
      <c r="G291" s="1" t="s">
        <v>77</v>
      </c>
      <c r="H291" s="1" t="s">
        <v>77</v>
      </c>
      <c r="I291" s="1" t="s">
        <v>77</v>
      </c>
      <c r="J291" s="1" t="s">
        <v>77</v>
      </c>
      <c r="K291" s="1" t="s">
        <v>77</v>
      </c>
      <c r="L291">
        <v>20220727142205</v>
      </c>
      <c r="M291" s="1" t="s">
        <v>473</v>
      </c>
      <c r="N291" s="1" t="s">
        <v>24</v>
      </c>
      <c r="O291">
        <v>7</v>
      </c>
      <c r="P291" s="3">
        <v>44769</v>
      </c>
      <c r="Q291">
        <v>30</v>
      </c>
    </row>
    <row r="292" spans="1:17" x14ac:dyDescent="0.3">
      <c r="A292" s="1" t="s">
        <v>472</v>
      </c>
      <c r="B292" s="2">
        <v>44769.598611111112</v>
      </c>
      <c r="C292" s="1" t="s">
        <v>37</v>
      </c>
      <c r="D292" s="1" t="s">
        <v>19</v>
      </c>
      <c r="E292" s="1" t="s">
        <v>58</v>
      </c>
      <c r="F292" s="1" t="s">
        <v>77</v>
      </c>
      <c r="G292" s="1" t="s">
        <v>77</v>
      </c>
      <c r="H292" s="1" t="s">
        <v>77</v>
      </c>
      <c r="I292" s="1" t="s">
        <v>77</v>
      </c>
      <c r="J292" s="1" t="s">
        <v>77</v>
      </c>
      <c r="K292" s="1" t="s">
        <v>77</v>
      </c>
      <c r="L292">
        <v>20220727142213</v>
      </c>
      <c r="M292" s="1" t="s">
        <v>474</v>
      </c>
      <c r="N292" s="1" t="s">
        <v>24</v>
      </c>
      <c r="O292">
        <v>7</v>
      </c>
      <c r="P292" s="3">
        <v>44769</v>
      </c>
      <c r="Q292">
        <v>30</v>
      </c>
    </row>
    <row r="293" spans="1:17" x14ac:dyDescent="0.3">
      <c r="A293" s="1" t="s">
        <v>472</v>
      </c>
      <c r="B293" s="2">
        <v>44769.598611111112</v>
      </c>
      <c r="C293" s="1" t="s">
        <v>37</v>
      </c>
      <c r="D293" s="1" t="s">
        <v>60</v>
      </c>
      <c r="E293" s="1" t="s">
        <v>61</v>
      </c>
      <c r="F293" s="1" t="s">
        <v>77</v>
      </c>
      <c r="G293" s="1" t="s">
        <v>77</v>
      </c>
      <c r="H293" s="1" t="s">
        <v>77</v>
      </c>
      <c r="I293" s="1" t="s">
        <v>77</v>
      </c>
      <c r="J293" s="1" t="s">
        <v>77</v>
      </c>
      <c r="K293" s="1" t="s">
        <v>77</v>
      </c>
      <c r="L293">
        <v>20220727142221</v>
      </c>
      <c r="M293" s="1" t="s">
        <v>475</v>
      </c>
      <c r="N293" s="1" t="s">
        <v>24</v>
      </c>
      <c r="O293">
        <v>7</v>
      </c>
      <c r="P293" s="3">
        <v>44769</v>
      </c>
      <c r="Q293">
        <v>30</v>
      </c>
    </row>
    <row r="294" spans="1:17" x14ac:dyDescent="0.3">
      <c r="A294" s="1" t="s">
        <v>472</v>
      </c>
      <c r="B294" s="2">
        <v>44769.598611111112</v>
      </c>
      <c r="C294" s="1" t="s">
        <v>434</v>
      </c>
      <c r="D294" s="1" t="s">
        <v>47</v>
      </c>
      <c r="E294" s="1" t="s">
        <v>77</v>
      </c>
      <c r="F294" s="1" t="s">
        <v>77</v>
      </c>
      <c r="G294" s="1" t="s">
        <v>77</v>
      </c>
      <c r="H294" s="1" t="s">
        <v>51</v>
      </c>
      <c r="I294" s="1" t="s">
        <v>435</v>
      </c>
      <c r="J294" s="1" t="s">
        <v>77</v>
      </c>
      <c r="K294" s="1" t="s">
        <v>77</v>
      </c>
      <c r="L294">
        <v>20220727142230</v>
      </c>
      <c r="M294" s="1" t="s">
        <v>476</v>
      </c>
      <c r="N294" s="1" t="s">
        <v>24</v>
      </c>
      <c r="O294">
        <v>7</v>
      </c>
      <c r="P294" s="3">
        <v>44769</v>
      </c>
      <c r="Q294">
        <v>30</v>
      </c>
    </row>
    <row r="295" spans="1:17" x14ac:dyDescent="0.3">
      <c r="A295" s="1" t="s">
        <v>472</v>
      </c>
      <c r="B295" s="2">
        <v>44769.598611111112</v>
      </c>
      <c r="C295" s="1" t="s">
        <v>18</v>
      </c>
      <c r="D295" s="1" t="s">
        <v>29</v>
      </c>
      <c r="E295" s="1" t="s">
        <v>77</v>
      </c>
      <c r="F295" s="1" t="s">
        <v>77</v>
      </c>
      <c r="G295" s="1" t="s">
        <v>77</v>
      </c>
      <c r="H295" s="1" t="s">
        <v>77</v>
      </c>
      <c r="I295" s="1" t="s">
        <v>77</v>
      </c>
      <c r="J295" s="1" t="s">
        <v>34</v>
      </c>
      <c r="K295" s="1" t="s">
        <v>171</v>
      </c>
      <c r="L295">
        <v>20220727142245</v>
      </c>
      <c r="M295" s="1" t="s">
        <v>477</v>
      </c>
      <c r="N295" s="1" t="s">
        <v>24</v>
      </c>
      <c r="O295">
        <v>7</v>
      </c>
      <c r="P295" s="3">
        <v>44769</v>
      </c>
      <c r="Q295">
        <v>30</v>
      </c>
    </row>
    <row r="296" spans="1:17" x14ac:dyDescent="0.3">
      <c r="A296" s="1" t="s">
        <v>472</v>
      </c>
      <c r="B296" s="2">
        <v>44769.599305555559</v>
      </c>
      <c r="C296" s="1" t="s">
        <v>18</v>
      </c>
      <c r="D296" s="1" t="s">
        <v>29</v>
      </c>
      <c r="E296" s="1" t="s">
        <v>77</v>
      </c>
      <c r="F296" s="1" t="s">
        <v>77</v>
      </c>
      <c r="G296" s="1" t="s">
        <v>77</v>
      </c>
      <c r="H296" s="1" t="s">
        <v>77</v>
      </c>
      <c r="I296" s="1" t="s">
        <v>77</v>
      </c>
      <c r="J296" s="1" t="s">
        <v>30</v>
      </c>
      <c r="K296" s="1" t="s">
        <v>175</v>
      </c>
      <c r="L296">
        <v>20220727142259</v>
      </c>
      <c r="M296" s="1" t="s">
        <v>478</v>
      </c>
      <c r="N296" s="1" t="s">
        <v>24</v>
      </c>
      <c r="O296">
        <v>7</v>
      </c>
      <c r="P296" s="3">
        <v>44769</v>
      </c>
      <c r="Q296">
        <v>30</v>
      </c>
    </row>
    <row r="297" spans="1:17" x14ac:dyDescent="0.3">
      <c r="A297" s="1" t="s">
        <v>479</v>
      </c>
      <c r="B297" s="2">
        <v>44770.383333333331</v>
      </c>
      <c r="C297" s="1" t="s">
        <v>37</v>
      </c>
      <c r="D297" s="1" t="s">
        <v>29</v>
      </c>
      <c r="E297" s="1" t="s">
        <v>30</v>
      </c>
      <c r="F297" s="1" t="s">
        <v>77</v>
      </c>
      <c r="G297" s="1" t="s">
        <v>77</v>
      </c>
      <c r="H297" s="1" t="s">
        <v>77</v>
      </c>
      <c r="I297" s="1" t="s">
        <v>77</v>
      </c>
      <c r="J297" s="1" t="s">
        <v>77</v>
      </c>
      <c r="K297" s="1" t="s">
        <v>77</v>
      </c>
      <c r="L297">
        <v>20220728091215</v>
      </c>
      <c r="M297" s="1" t="s">
        <v>480</v>
      </c>
      <c r="N297" s="1" t="s">
        <v>65</v>
      </c>
      <c r="O297">
        <v>7</v>
      </c>
      <c r="P297" s="3">
        <v>44770</v>
      </c>
      <c r="Q297">
        <v>30</v>
      </c>
    </row>
    <row r="298" spans="1:17" x14ac:dyDescent="0.3">
      <c r="A298" s="1" t="s">
        <v>479</v>
      </c>
      <c r="B298" s="2">
        <v>44770.383333333331</v>
      </c>
      <c r="C298" s="1" t="s">
        <v>37</v>
      </c>
      <c r="D298" s="1" t="s">
        <v>53</v>
      </c>
      <c r="E298" s="1" t="s">
        <v>54</v>
      </c>
      <c r="F298" s="1" t="s">
        <v>77</v>
      </c>
      <c r="G298" s="1" t="s">
        <v>77</v>
      </c>
      <c r="H298" s="1" t="s">
        <v>77</v>
      </c>
      <c r="I298" s="1" t="s">
        <v>77</v>
      </c>
      <c r="J298" s="1" t="s">
        <v>77</v>
      </c>
      <c r="K298" s="1" t="s">
        <v>77</v>
      </c>
      <c r="L298">
        <v>20220728091231</v>
      </c>
      <c r="M298" s="1" t="s">
        <v>481</v>
      </c>
      <c r="N298" s="1" t="s">
        <v>65</v>
      </c>
      <c r="O298">
        <v>7</v>
      </c>
      <c r="P298" s="3">
        <v>44770</v>
      </c>
      <c r="Q298">
        <v>30</v>
      </c>
    </row>
    <row r="299" spans="1:17" x14ac:dyDescent="0.3">
      <c r="A299" s="1" t="s">
        <v>479</v>
      </c>
      <c r="B299" s="2">
        <v>44770.383333333331</v>
      </c>
      <c r="C299" s="1" t="s">
        <v>37</v>
      </c>
      <c r="D299" s="1" t="s">
        <v>19</v>
      </c>
      <c r="E299" s="1" t="s">
        <v>58</v>
      </c>
      <c r="F299" s="1" t="s">
        <v>77</v>
      </c>
      <c r="G299" s="1" t="s">
        <v>77</v>
      </c>
      <c r="H299" s="1" t="s">
        <v>77</v>
      </c>
      <c r="I299" s="1" t="s">
        <v>77</v>
      </c>
      <c r="J299" s="1" t="s">
        <v>77</v>
      </c>
      <c r="K299" s="1" t="s">
        <v>77</v>
      </c>
      <c r="L299">
        <v>20220728091241</v>
      </c>
      <c r="M299" s="1" t="s">
        <v>482</v>
      </c>
      <c r="N299" s="1" t="s">
        <v>65</v>
      </c>
      <c r="O299">
        <v>7</v>
      </c>
      <c r="P299" s="3">
        <v>44770</v>
      </c>
      <c r="Q299">
        <v>30</v>
      </c>
    </row>
    <row r="300" spans="1:17" x14ac:dyDescent="0.3">
      <c r="A300" s="1" t="s">
        <v>479</v>
      </c>
      <c r="B300" s="2">
        <v>44770.384027777778</v>
      </c>
      <c r="C300" s="1" t="s">
        <v>37</v>
      </c>
      <c r="D300" s="1" t="s">
        <v>60</v>
      </c>
      <c r="E300" s="1" t="s">
        <v>61</v>
      </c>
      <c r="F300" s="1" t="s">
        <v>77</v>
      </c>
      <c r="G300" s="1" t="s">
        <v>77</v>
      </c>
      <c r="H300" s="1" t="s">
        <v>77</v>
      </c>
      <c r="I300" s="1" t="s">
        <v>77</v>
      </c>
      <c r="J300" s="1" t="s">
        <v>77</v>
      </c>
      <c r="K300" s="1" t="s">
        <v>77</v>
      </c>
      <c r="L300">
        <v>20220728091253</v>
      </c>
      <c r="M300" s="1" t="s">
        <v>483</v>
      </c>
      <c r="N300" s="1" t="s">
        <v>65</v>
      </c>
      <c r="O300">
        <v>7</v>
      </c>
      <c r="P300" s="3">
        <v>44770</v>
      </c>
      <c r="Q300">
        <v>30</v>
      </c>
    </row>
    <row r="301" spans="1:17" x14ac:dyDescent="0.3">
      <c r="A301" s="1" t="s">
        <v>484</v>
      </c>
      <c r="B301" s="2">
        <v>44770.384027777778</v>
      </c>
      <c r="C301" s="1" t="s">
        <v>168</v>
      </c>
      <c r="D301" s="1" t="s">
        <v>38</v>
      </c>
      <c r="E301" s="1" t="s">
        <v>77</v>
      </c>
      <c r="F301" s="1" t="s">
        <v>39</v>
      </c>
      <c r="G301" s="1" t="s">
        <v>485</v>
      </c>
      <c r="H301" s="1" t="s">
        <v>77</v>
      </c>
      <c r="I301" s="1" t="s">
        <v>77</v>
      </c>
      <c r="J301" s="1" t="s">
        <v>77</v>
      </c>
      <c r="K301" s="1" t="s">
        <v>77</v>
      </c>
      <c r="L301">
        <v>20220728091340</v>
      </c>
      <c r="M301" s="1" t="s">
        <v>486</v>
      </c>
      <c r="N301" s="1" t="s">
        <v>65</v>
      </c>
      <c r="O301">
        <v>7</v>
      </c>
      <c r="P301" s="3">
        <v>44770</v>
      </c>
      <c r="Q301">
        <v>30</v>
      </c>
    </row>
    <row r="302" spans="1:17" x14ac:dyDescent="0.3">
      <c r="A302" s="1" t="s">
        <v>487</v>
      </c>
      <c r="B302" s="2">
        <v>44770.384722222225</v>
      </c>
      <c r="C302" s="1" t="s">
        <v>37</v>
      </c>
      <c r="D302" s="1" t="s">
        <v>41</v>
      </c>
      <c r="E302" s="1" t="s">
        <v>42</v>
      </c>
      <c r="F302" s="1" t="s">
        <v>77</v>
      </c>
      <c r="G302" s="1" t="s">
        <v>77</v>
      </c>
      <c r="H302" s="1" t="s">
        <v>77</v>
      </c>
      <c r="I302" s="1" t="s">
        <v>77</v>
      </c>
      <c r="J302" s="1" t="s">
        <v>77</v>
      </c>
      <c r="K302" s="1" t="s">
        <v>77</v>
      </c>
      <c r="L302">
        <v>20220728091402</v>
      </c>
      <c r="M302" s="1" t="s">
        <v>488</v>
      </c>
      <c r="N302" s="1" t="s">
        <v>65</v>
      </c>
      <c r="O302">
        <v>7</v>
      </c>
      <c r="P302" s="3">
        <v>44770</v>
      </c>
      <c r="Q302">
        <v>30</v>
      </c>
    </row>
    <row r="303" spans="1:17" x14ac:dyDescent="0.3">
      <c r="A303" s="1" t="s">
        <v>487</v>
      </c>
      <c r="B303" s="2">
        <v>44770.384722222225</v>
      </c>
      <c r="C303" s="1" t="s">
        <v>37</v>
      </c>
      <c r="D303" s="1" t="s">
        <v>44</v>
      </c>
      <c r="E303" s="1" t="s">
        <v>45</v>
      </c>
      <c r="F303" s="1" t="s">
        <v>77</v>
      </c>
      <c r="G303" s="1" t="s">
        <v>77</v>
      </c>
      <c r="H303" s="1" t="s">
        <v>77</v>
      </c>
      <c r="I303" s="1" t="s">
        <v>77</v>
      </c>
      <c r="J303" s="1" t="s">
        <v>77</v>
      </c>
      <c r="K303" s="1" t="s">
        <v>77</v>
      </c>
      <c r="L303">
        <v>20220728091414</v>
      </c>
      <c r="M303" s="1" t="s">
        <v>489</v>
      </c>
      <c r="N303" s="1" t="s">
        <v>65</v>
      </c>
      <c r="O303">
        <v>7</v>
      </c>
      <c r="P303" s="3">
        <v>44770</v>
      </c>
      <c r="Q303">
        <v>30</v>
      </c>
    </row>
    <row r="304" spans="1:17" x14ac:dyDescent="0.3">
      <c r="A304" s="1" t="s">
        <v>487</v>
      </c>
      <c r="B304" s="2">
        <v>44770.384722222225</v>
      </c>
      <c r="C304" s="1" t="s">
        <v>434</v>
      </c>
      <c r="D304" s="1" t="s">
        <v>47</v>
      </c>
      <c r="E304" s="1" t="s">
        <v>77</v>
      </c>
      <c r="F304" s="1" t="s">
        <v>77</v>
      </c>
      <c r="G304" s="1" t="s">
        <v>77</v>
      </c>
      <c r="H304" s="1" t="s">
        <v>51</v>
      </c>
      <c r="I304" s="1" t="s">
        <v>435</v>
      </c>
      <c r="J304" s="1" t="s">
        <v>77</v>
      </c>
      <c r="K304" s="1" t="s">
        <v>77</v>
      </c>
      <c r="L304">
        <v>20220728091425</v>
      </c>
      <c r="M304" s="1" t="s">
        <v>490</v>
      </c>
      <c r="N304" s="1" t="s">
        <v>65</v>
      </c>
      <c r="O304">
        <v>7</v>
      </c>
      <c r="P304" s="3">
        <v>44770</v>
      </c>
      <c r="Q304">
        <v>30</v>
      </c>
    </row>
    <row r="305" spans="1:17" x14ac:dyDescent="0.3">
      <c r="A305" s="1" t="s">
        <v>487</v>
      </c>
      <c r="B305" s="2">
        <v>44770.384722222225</v>
      </c>
      <c r="C305" s="1" t="s">
        <v>18</v>
      </c>
      <c r="D305" s="1" t="s">
        <v>29</v>
      </c>
      <c r="E305" s="1" t="s">
        <v>77</v>
      </c>
      <c r="F305" s="1" t="s">
        <v>77</v>
      </c>
      <c r="G305" s="1" t="s">
        <v>77</v>
      </c>
      <c r="H305" s="1" t="s">
        <v>77</v>
      </c>
      <c r="I305" s="1" t="s">
        <v>77</v>
      </c>
      <c r="J305" s="1" t="s">
        <v>34</v>
      </c>
      <c r="K305" s="1" t="s">
        <v>171</v>
      </c>
      <c r="L305">
        <v>20220728091439</v>
      </c>
      <c r="M305" s="1" t="s">
        <v>491</v>
      </c>
      <c r="N305" s="1" t="s">
        <v>65</v>
      </c>
      <c r="O305">
        <v>7</v>
      </c>
      <c r="P305" s="3">
        <v>44770</v>
      </c>
      <c r="Q305">
        <v>30</v>
      </c>
    </row>
    <row r="306" spans="1:17" x14ac:dyDescent="0.3">
      <c r="A306" s="1" t="s">
        <v>492</v>
      </c>
      <c r="B306" s="2">
        <v>44770.385416666664</v>
      </c>
      <c r="C306" s="1" t="s">
        <v>37</v>
      </c>
      <c r="D306" s="1" t="s">
        <v>26</v>
      </c>
      <c r="E306" s="1" t="s">
        <v>27</v>
      </c>
      <c r="F306" s="1" t="s">
        <v>77</v>
      </c>
      <c r="G306" s="1" t="s">
        <v>77</v>
      </c>
      <c r="H306" s="1" t="s">
        <v>77</v>
      </c>
      <c r="I306" s="1" t="s">
        <v>77</v>
      </c>
      <c r="J306" s="1" t="s">
        <v>77</v>
      </c>
      <c r="K306" s="1" t="s">
        <v>77</v>
      </c>
      <c r="L306">
        <v>20220728091523</v>
      </c>
      <c r="M306" s="1" t="s">
        <v>493</v>
      </c>
      <c r="N306" s="1" t="s">
        <v>65</v>
      </c>
      <c r="O306">
        <v>7</v>
      </c>
      <c r="P306" s="3">
        <v>44770</v>
      </c>
      <c r="Q306">
        <v>30</v>
      </c>
    </row>
    <row r="307" spans="1:17" x14ac:dyDescent="0.3">
      <c r="A307" s="1" t="s">
        <v>492</v>
      </c>
      <c r="B307" s="2">
        <v>44770.385416666664</v>
      </c>
      <c r="C307" s="1" t="s">
        <v>37</v>
      </c>
      <c r="D307" s="1" t="s">
        <v>195</v>
      </c>
      <c r="E307" s="1" t="s">
        <v>21</v>
      </c>
      <c r="F307" s="1" t="s">
        <v>77</v>
      </c>
      <c r="G307" s="1" t="s">
        <v>77</v>
      </c>
      <c r="H307" s="1" t="s">
        <v>77</v>
      </c>
      <c r="I307" s="1" t="s">
        <v>77</v>
      </c>
      <c r="J307" s="1" t="s">
        <v>77</v>
      </c>
      <c r="K307" s="1" t="s">
        <v>77</v>
      </c>
      <c r="L307">
        <v>20220728091547</v>
      </c>
      <c r="M307" s="1" t="s">
        <v>494</v>
      </c>
      <c r="N307" s="1" t="s">
        <v>65</v>
      </c>
      <c r="O307">
        <v>7</v>
      </c>
      <c r="P307" s="3">
        <v>44770</v>
      </c>
      <c r="Q307">
        <v>30</v>
      </c>
    </row>
    <row r="308" spans="1:17" x14ac:dyDescent="0.3">
      <c r="A308" s="1" t="s">
        <v>495</v>
      </c>
      <c r="B308" s="2">
        <v>44770.386805555558</v>
      </c>
      <c r="C308" s="1" t="s">
        <v>37</v>
      </c>
      <c r="D308" s="1" t="s">
        <v>47</v>
      </c>
      <c r="E308" s="1" t="s">
        <v>48</v>
      </c>
      <c r="F308" s="1" t="s">
        <v>77</v>
      </c>
      <c r="G308" s="1" t="s">
        <v>77</v>
      </c>
      <c r="H308" s="1" t="s">
        <v>77</v>
      </c>
      <c r="I308" s="1" t="s">
        <v>77</v>
      </c>
      <c r="J308" s="1" t="s">
        <v>77</v>
      </c>
      <c r="K308" s="1" t="s">
        <v>77</v>
      </c>
      <c r="L308">
        <v>20220728091705</v>
      </c>
      <c r="M308" s="1" t="s">
        <v>496</v>
      </c>
      <c r="N308" s="1" t="s">
        <v>65</v>
      </c>
      <c r="O308">
        <v>7</v>
      </c>
      <c r="P308" s="3">
        <v>44770</v>
      </c>
      <c r="Q308">
        <v>30</v>
      </c>
    </row>
    <row r="309" spans="1:17" x14ac:dyDescent="0.3">
      <c r="A309" s="1" t="s">
        <v>495</v>
      </c>
      <c r="B309" s="2">
        <v>44770.386805555558</v>
      </c>
      <c r="C309" s="1" t="s">
        <v>37</v>
      </c>
      <c r="D309" s="1" t="s">
        <v>53</v>
      </c>
      <c r="E309" s="1" t="s">
        <v>56</v>
      </c>
      <c r="F309" s="1" t="s">
        <v>77</v>
      </c>
      <c r="G309" s="1" t="s">
        <v>77</v>
      </c>
      <c r="H309" s="1" t="s">
        <v>77</v>
      </c>
      <c r="I309" s="1" t="s">
        <v>77</v>
      </c>
      <c r="J309" s="1" t="s">
        <v>20</v>
      </c>
      <c r="K309" s="1" t="s">
        <v>20</v>
      </c>
      <c r="L309">
        <v>20220728091716</v>
      </c>
      <c r="M309" s="1" t="s">
        <v>497</v>
      </c>
      <c r="N309" s="1" t="s">
        <v>65</v>
      </c>
      <c r="O309">
        <v>7</v>
      </c>
      <c r="P309" s="3">
        <v>44770</v>
      </c>
      <c r="Q309">
        <v>30</v>
      </c>
    </row>
    <row r="310" spans="1:17" x14ac:dyDescent="0.3">
      <c r="A310" s="1" t="s">
        <v>498</v>
      </c>
      <c r="B310" s="2">
        <v>44771.401388888888</v>
      </c>
      <c r="C310" s="1" t="s">
        <v>37</v>
      </c>
      <c r="D310" s="1" t="s">
        <v>19</v>
      </c>
      <c r="E310" s="1" t="s">
        <v>58</v>
      </c>
      <c r="F310" s="1" t="s">
        <v>77</v>
      </c>
      <c r="G310" s="1" t="s">
        <v>77</v>
      </c>
      <c r="H310" s="1" t="s">
        <v>77</v>
      </c>
      <c r="I310" s="1" t="s">
        <v>77</v>
      </c>
      <c r="J310" s="1" t="s">
        <v>77</v>
      </c>
      <c r="K310" s="1" t="s">
        <v>77</v>
      </c>
      <c r="L310">
        <v>20220729093833</v>
      </c>
      <c r="M310" s="1" t="s">
        <v>499</v>
      </c>
      <c r="N310" s="1" t="s">
        <v>84</v>
      </c>
      <c r="O310">
        <v>7</v>
      </c>
      <c r="P310" s="3">
        <v>44771</v>
      </c>
      <c r="Q310">
        <v>30</v>
      </c>
    </row>
    <row r="311" spans="1:17" x14ac:dyDescent="0.3">
      <c r="A311" s="1" t="s">
        <v>498</v>
      </c>
      <c r="B311" s="2">
        <v>44771.401388888888</v>
      </c>
      <c r="C311" s="1" t="s">
        <v>37</v>
      </c>
      <c r="D311" s="1" t="s">
        <v>29</v>
      </c>
      <c r="E311" s="1" t="s">
        <v>30</v>
      </c>
      <c r="F311" s="1" t="s">
        <v>77</v>
      </c>
      <c r="G311" s="1" t="s">
        <v>77</v>
      </c>
      <c r="H311" s="1" t="s">
        <v>77</v>
      </c>
      <c r="I311" s="1" t="s">
        <v>77</v>
      </c>
      <c r="J311" s="1" t="s">
        <v>77</v>
      </c>
      <c r="K311" s="1" t="s">
        <v>77</v>
      </c>
      <c r="L311">
        <v>20220729093844</v>
      </c>
      <c r="M311" s="1" t="s">
        <v>500</v>
      </c>
      <c r="N311" s="1" t="s">
        <v>84</v>
      </c>
      <c r="O311">
        <v>7</v>
      </c>
      <c r="P311" s="3">
        <v>44771</v>
      </c>
      <c r="Q311">
        <v>30</v>
      </c>
    </row>
    <row r="312" spans="1:17" x14ac:dyDescent="0.3">
      <c r="A312" s="1" t="s">
        <v>498</v>
      </c>
      <c r="B312" s="2">
        <v>44771.402083333334</v>
      </c>
      <c r="C312" s="1" t="s">
        <v>37</v>
      </c>
      <c r="D312" s="1" t="s">
        <v>53</v>
      </c>
      <c r="E312" s="1" t="s">
        <v>54</v>
      </c>
      <c r="F312" s="1" t="s">
        <v>77</v>
      </c>
      <c r="G312" s="1" t="s">
        <v>77</v>
      </c>
      <c r="H312" s="1" t="s">
        <v>77</v>
      </c>
      <c r="I312" s="1" t="s">
        <v>77</v>
      </c>
      <c r="J312" s="1" t="s">
        <v>77</v>
      </c>
      <c r="K312" s="1" t="s">
        <v>77</v>
      </c>
      <c r="L312">
        <v>20220729093856</v>
      </c>
      <c r="M312" s="1" t="s">
        <v>501</v>
      </c>
      <c r="N312" s="1" t="s">
        <v>84</v>
      </c>
      <c r="O312">
        <v>7</v>
      </c>
      <c r="P312" s="3">
        <v>44771</v>
      </c>
      <c r="Q312">
        <v>30</v>
      </c>
    </row>
    <row r="313" spans="1:17" x14ac:dyDescent="0.3">
      <c r="A313" s="1" t="s">
        <v>502</v>
      </c>
      <c r="B313" s="2">
        <v>44771.402083333334</v>
      </c>
      <c r="C313" s="1" t="s">
        <v>168</v>
      </c>
      <c r="D313" s="1" t="s">
        <v>38</v>
      </c>
      <c r="E313" s="1" t="s">
        <v>77</v>
      </c>
      <c r="F313" s="1" t="s">
        <v>39</v>
      </c>
      <c r="G313" s="1" t="s">
        <v>485</v>
      </c>
      <c r="H313" s="1" t="s">
        <v>77</v>
      </c>
      <c r="I313" s="1" t="s">
        <v>77</v>
      </c>
      <c r="J313" s="1" t="s">
        <v>77</v>
      </c>
      <c r="K313" s="1" t="s">
        <v>77</v>
      </c>
      <c r="L313">
        <v>20220729093933</v>
      </c>
      <c r="M313" s="1" t="s">
        <v>503</v>
      </c>
      <c r="N313" s="1" t="s">
        <v>84</v>
      </c>
      <c r="O313">
        <v>7</v>
      </c>
      <c r="P313" s="3">
        <v>44771</v>
      </c>
      <c r="Q313">
        <v>30</v>
      </c>
    </row>
    <row r="314" spans="1:17" x14ac:dyDescent="0.3">
      <c r="A314" s="1" t="s">
        <v>502</v>
      </c>
      <c r="B314" s="2">
        <v>44771.402777777781</v>
      </c>
      <c r="C314" s="1" t="s">
        <v>434</v>
      </c>
      <c r="D314" s="1" t="s">
        <v>47</v>
      </c>
      <c r="E314" s="1" t="s">
        <v>77</v>
      </c>
      <c r="F314" s="1" t="s">
        <v>77</v>
      </c>
      <c r="G314" s="1" t="s">
        <v>77</v>
      </c>
      <c r="H314" s="1" t="s">
        <v>51</v>
      </c>
      <c r="I314" s="1" t="s">
        <v>435</v>
      </c>
      <c r="J314" s="1" t="s">
        <v>77</v>
      </c>
      <c r="K314" s="1" t="s">
        <v>77</v>
      </c>
      <c r="L314">
        <v>20220729093948</v>
      </c>
      <c r="M314" s="1" t="s">
        <v>504</v>
      </c>
      <c r="N314" s="1" t="s">
        <v>84</v>
      </c>
      <c r="O314">
        <v>7</v>
      </c>
      <c r="P314" s="3">
        <v>44771</v>
      </c>
      <c r="Q314">
        <v>30</v>
      </c>
    </row>
    <row r="315" spans="1:17" x14ac:dyDescent="0.3">
      <c r="A315" s="1" t="s">
        <v>505</v>
      </c>
      <c r="B315" s="2">
        <v>44771.402777777781</v>
      </c>
      <c r="C315" s="1" t="s">
        <v>18</v>
      </c>
      <c r="D315" s="1" t="s">
        <v>29</v>
      </c>
      <c r="E315" s="1" t="s">
        <v>77</v>
      </c>
      <c r="F315" s="1" t="s">
        <v>77</v>
      </c>
      <c r="G315" s="1" t="s">
        <v>77</v>
      </c>
      <c r="H315" s="1" t="s">
        <v>77</v>
      </c>
      <c r="I315" s="1" t="s">
        <v>77</v>
      </c>
      <c r="J315" s="1" t="s">
        <v>34</v>
      </c>
      <c r="K315" s="1" t="s">
        <v>171</v>
      </c>
      <c r="L315">
        <v>20220729094002</v>
      </c>
      <c r="M315" s="1" t="s">
        <v>506</v>
      </c>
      <c r="N315" s="1" t="s">
        <v>84</v>
      </c>
      <c r="O315">
        <v>7</v>
      </c>
      <c r="P315" s="3">
        <v>44771</v>
      </c>
      <c r="Q315">
        <v>30</v>
      </c>
    </row>
    <row r="316" spans="1:17" x14ac:dyDescent="0.3">
      <c r="A316" s="1" t="s">
        <v>505</v>
      </c>
      <c r="B316" s="2">
        <v>44771.402777777781</v>
      </c>
      <c r="C316" s="1" t="s">
        <v>37</v>
      </c>
      <c r="D316" s="1" t="s">
        <v>26</v>
      </c>
      <c r="E316" s="1" t="s">
        <v>27</v>
      </c>
      <c r="F316" s="1" t="s">
        <v>77</v>
      </c>
      <c r="G316" s="1" t="s">
        <v>77</v>
      </c>
      <c r="H316" s="1" t="s">
        <v>77</v>
      </c>
      <c r="I316" s="1" t="s">
        <v>77</v>
      </c>
      <c r="J316" s="1" t="s">
        <v>77</v>
      </c>
      <c r="K316" s="1" t="s">
        <v>77</v>
      </c>
      <c r="L316">
        <v>20220729094015</v>
      </c>
      <c r="M316" s="1" t="s">
        <v>507</v>
      </c>
      <c r="N316" s="1" t="s">
        <v>84</v>
      </c>
      <c r="O316">
        <v>7</v>
      </c>
      <c r="P316" s="3">
        <v>44771</v>
      </c>
      <c r="Q316">
        <v>30</v>
      </c>
    </row>
    <row r="317" spans="1:17" x14ac:dyDescent="0.3">
      <c r="A317" s="1" t="s">
        <v>505</v>
      </c>
      <c r="B317" s="2">
        <v>44771.402777777781</v>
      </c>
      <c r="C317" s="1" t="s">
        <v>37</v>
      </c>
      <c r="D317" s="1" t="s">
        <v>195</v>
      </c>
      <c r="E317" s="1" t="s">
        <v>21</v>
      </c>
      <c r="F317" s="1" t="s">
        <v>77</v>
      </c>
      <c r="G317" s="1" t="s">
        <v>77</v>
      </c>
      <c r="H317" s="1" t="s">
        <v>77</v>
      </c>
      <c r="I317" s="1" t="s">
        <v>77</v>
      </c>
      <c r="J317" s="1" t="s">
        <v>77</v>
      </c>
      <c r="K317" s="1" t="s">
        <v>77</v>
      </c>
      <c r="L317">
        <v>20220729094025</v>
      </c>
      <c r="M317" s="1" t="s">
        <v>508</v>
      </c>
      <c r="N317" s="1" t="s">
        <v>84</v>
      </c>
      <c r="O317">
        <v>7</v>
      </c>
      <c r="P317" s="3">
        <v>44771</v>
      </c>
      <c r="Q317">
        <v>30</v>
      </c>
    </row>
    <row r="318" spans="1:17" x14ac:dyDescent="0.3">
      <c r="A318" s="1" t="s">
        <v>505</v>
      </c>
      <c r="B318" s="2">
        <v>44771.402777777781</v>
      </c>
      <c r="C318" s="1" t="s">
        <v>37</v>
      </c>
      <c r="D318" s="1" t="s">
        <v>41</v>
      </c>
      <c r="E318" s="1" t="s">
        <v>42</v>
      </c>
      <c r="F318" s="1" t="s">
        <v>77</v>
      </c>
      <c r="G318" s="1" t="s">
        <v>77</v>
      </c>
      <c r="H318" s="1" t="s">
        <v>77</v>
      </c>
      <c r="I318" s="1" t="s">
        <v>77</v>
      </c>
      <c r="J318" s="1" t="s">
        <v>77</v>
      </c>
      <c r="K318" s="1" t="s">
        <v>77</v>
      </c>
      <c r="L318">
        <v>20220729094032</v>
      </c>
      <c r="M318" s="1" t="s">
        <v>509</v>
      </c>
      <c r="N318" s="1" t="s">
        <v>84</v>
      </c>
      <c r="O318">
        <v>7</v>
      </c>
      <c r="P318" s="3">
        <v>44771</v>
      </c>
      <c r="Q318">
        <v>30</v>
      </c>
    </row>
    <row r="319" spans="1:17" x14ac:dyDescent="0.3">
      <c r="A319" s="1" t="s">
        <v>505</v>
      </c>
      <c r="B319" s="2">
        <v>44771.402777777781</v>
      </c>
      <c r="C319" s="1" t="s">
        <v>37</v>
      </c>
      <c r="D319" s="1" t="s">
        <v>44</v>
      </c>
      <c r="E319" s="1" t="s">
        <v>45</v>
      </c>
      <c r="F319" s="1" t="s">
        <v>77</v>
      </c>
      <c r="G319" s="1" t="s">
        <v>77</v>
      </c>
      <c r="H319" s="1" t="s">
        <v>77</v>
      </c>
      <c r="I319" s="1" t="s">
        <v>77</v>
      </c>
      <c r="J319" s="1" t="s">
        <v>77</v>
      </c>
      <c r="K319" s="1" t="s">
        <v>77</v>
      </c>
      <c r="L319">
        <v>20220729094038</v>
      </c>
      <c r="M319" s="1" t="s">
        <v>510</v>
      </c>
      <c r="N319" s="1" t="s">
        <v>84</v>
      </c>
      <c r="O319">
        <v>7</v>
      </c>
      <c r="P319" s="3">
        <v>44771</v>
      </c>
      <c r="Q319">
        <v>30</v>
      </c>
    </row>
    <row r="320" spans="1:17" x14ac:dyDescent="0.3">
      <c r="A320" s="1" t="s">
        <v>505</v>
      </c>
      <c r="B320" s="2">
        <v>44771.402777777781</v>
      </c>
      <c r="C320" s="1" t="s">
        <v>37</v>
      </c>
      <c r="D320" s="1" t="s">
        <v>47</v>
      </c>
      <c r="E320" s="1" t="s">
        <v>48</v>
      </c>
      <c r="F320" s="1" t="s">
        <v>77</v>
      </c>
      <c r="G320" s="1" t="s">
        <v>77</v>
      </c>
      <c r="H320" s="1" t="s">
        <v>77</v>
      </c>
      <c r="I320" s="1" t="s">
        <v>77</v>
      </c>
      <c r="J320" s="1" t="s">
        <v>77</v>
      </c>
      <c r="K320" s="1" t="s">
        <v>77</v>
      </c>
      <c r="L320">
        <v>20220729094046</v>
      </c>
      <c r="M320" s="1" t="s">
        <v>511</v>
      </c>
      <c r="N320" s="1" t="s">
        <v>84</v>
      </c>
      <c r="O320">
        <v>7</v>
      </c>
      <c r="P320" s="3">
        <v>44771</v>
      </c>
      <c r="Q320">
        <v>30</v>
      </c>
    </row>
    <row r="321" spans="1:17" x14ac:dyDescent="0.3">
      <c r="A321" s="1" t="s">
        <v>505</v>
      </c>
      <c r="B321" s="2">
        <v>44771.40347222222</v>
      </c>
      <c r="C321" s="1" t="s">
        <v>37</v>
      </c>
      <c r="D321" s="1" t="s">
        <v>60</v>
      </c>
      <c r="E321" s="1" t="s">
        <v>61</v>
      </c>
      <c r="F321" s="1" t="s">
        <v>77</v>
      </c>
      <c r="G321" s="1" t="s">
        <v>77</v>
      </c>
      <c r="H321" s="1" t="s">
        <v>77</v>
      </c>
      <c r="I321" s="1" t="s">
        <v>77</v>
      </c>
      <c r="J321" s="1" t="s">
        <v>77</v>
      </c>
      <c r="K321" s="1" t="s">
        <v>77</v>
      </c>
      <c r="L321">
        <v>20220729094054</v>
      </c>
      <c r="M321" s="1" t="s">
        <v>512</v>
      </c>
      <c r="N321" s="1" t="s">
        <v>84</v>
      </c>
      <c r="O321">
        <v>7</v>
      </c>
      <c r="P321" s="3">
        <v>44771</v>
      </c>
      <c r="Q321">
        <v>30</v>
      </c>
    </row>
    <row r="322" spans="1:17" x14ac:dyDescent="0.3">
      <c r="A322" s="1" t="s">
        <v>513</v>
      </c>
      <c r="B322" s="2">
        <v>44771.40347222222</v>
      </c>
      <c r="C322" s="1" t="s">
        <v>37</v>
      </c>
      <c r="D322" s="1" t="s">
        <v>53</v>
      </c>
      <c r="E322" s="1" t="s">
        <v>56</v>
      </c>
      <c r="F322" s="1" t="s">
        <v>77</v>
      </c>
      <c r="G322" s="1" t="s">
        <v>77</v>
      </c>
      <c r="H322" s="1" t="s">
        <v>77</v>
      </c>
      <c r="I322" s="1" t="s">
        <v>77</v>
      </c>
      <c r="J322" s="1" t="s">
        <v>77</v>
      </c>
      <c r="K322" s="1" t="s">
        <v>77</v>
      </c>
      <c r="L322">
        <v>20220729094104</v>
      </c>
      <c r="M322" s="1" t="s">
        <v>514</v>
      </c>
      <c r="N322" s="1" t="s">
        <v>84</v>
      </c>
      <c r="O322">
        <v>7</v>
      </c>
      <c r="P322" s="3">
        <v>44771</v>
      </c>
      <c r="Q322">
        <v>30</v>
      </c>
    </row>
    <row r="323" spans="1:17" x14ac:dyDescent="0.3">
      <c r="A323" s="1" t="s">
        <v>515</v>
      </c>
      <c r="B323" s="2">
        <v>44772.552083333336</v>
      </c>
      <c r="C323" s="1" t="s">
        <v>37</v>
      </c>
      <c r="D323" s="1" t="s">
        <v>60</v>
      </c>
      <c r="E323" s="1" t="s">
        <v>61</v>
      </c>
      <c r="F323" s="1" t="s">
        <v>77</v>
      </c>
      <c r="G323" s="1" t="s">
        <v>77</v>
      </c>
      <c r="H323" s="1" t="s">
        <v>77</v>
      </c>
      <c r="I323" s="1" t="s">
        <v>77</v>
      </c>
      <c r="J323" s="1" t="s">
        <v>77</v>
      </c>
      <c r="K323" s="1" t="s">
        <v>77</v>
      </c>
      <c r="L323">
        <v>20220730131538</v>
      </c>
      <c r="M323" s="1" t="s">
        <v>516</v>
      </c>
      <c r="N323" s="1" t="s">
        <v>101</v>
      </c>
      <c r="O323">
        <v>7</v>
      </c>
      <c r="P323" s="3">
        <v>44772</v>
      </c>
      <c r="Q323">
        <v>30</v>
      </c>
    </row>
    <row r="324" spans="1:17" x14ac:dyDescent="0.3">
      <c r="A324" s="1" t="s">
        <v>515</v>
      </c>
      <c r="B324" s="2">
        <v>44772.552083333336</v>
      </c>
      <c r="C324" s="1" t="s">
        <v>37</v>
      </c>
      <c r="D324" s="1" t="s">
        <v>47</v>
      </c>
      <c r="E324" s="1" t="s">
        <v>48</v>
      </c>
      <c r="F324" s="1" t="s">
        <v>77</v>
      </c>
      <c r="G324" s="1" t="s">
        <v>77</v>
      </c>
      <c r="H324" s="1" t="s">
        <v>77</v>
      </c>
      <c r="I324" s="1" t="s">
        <v>77</v>
      </c>
      <c r="J324" s="1" t="s">
        <v>77</v>
      </c>
      <c r="K324" s="1" t="s">
        <v>77</v>
      </c>
      <c r="L324">
        <v>20220730131548</v>
      </c>
      <c r="M324" s="1" t="s">
        <v>517</v>
      </c>
      <c r="N324" s="1" t="s">
        <v>101</v>
      </c>
      <c r="O324">
        <v>7</v>
      </c>
      <c r="P324" s="3">
        <v>44772</v>
      </c>
      <c r="Q324">
        <v>30</v>
      </c>
    </row>
    <row r="325" spans="1:17" x14ac:dyDescent="0.3">
      <c r="A325" s="1" t="s">
        <v>515</v>
      </c>
      <c r="B325" s="2">
        <v>44772.552777777775</v>
      </c>
      <c r="C325" s="1" t="s">
        <v>37</v>
      </c>
      <c r="D325" s="1" t="s">
        <v>41</v>
      </c>
      <c r="E325" s="1" t="s">
        <v>42</v>
      </c>
      <c r="F325" s="1" t="s">
        <v>77</v>
      </c>
      <c r="G325" s="1" t="s">
        <v>77</v>
      </c>
      <c r="H325" s="1" t="s">
        <v>77</v>
      </c>
      <c r="I325" s="1" t="s">
        <v>77</v>
      </c>
      <c r="J325" s="1" t="s">
        <v>77</v>
      </c>
      <c r="K325" s="1" t="s">
        <v>77</v>
      </c>
      <c r="L325">
        <v>20220730131559</v>
      </c>
      <c r="M325" s="1" t="s">
        <v>518</v>
      </c>
      <c r="N325" s="1" t="s">
        <v>101</v>
      </c>
      <c r="O325">
        <v>7</v>
      </c>
      <c r="P325" s="3">
        <v>44772</v>
      </c>
      <c r="Q325">
        <v>30</v>
      </c>
    </row>
    <row r="326" spans="1:17" x14ac:dyDescent="0.3">
      <c r="A326" s="1" t="s">
        <v>519</v>
      </c>
      <c r="B326" s="2">
        <v>44772.552777777775</v>
      </c>
      <c r="C326" s="1" t="s">
        <v>18</v>
      </c>
      <c r="D326" s="1" t="s">
        <v>53</v>
      </c>
      <c r="E326" s="1" t="s">
        <v>77</v>
      </c>
      <c r="F326" s="1" t="s">
        <v>77</v>
      </c>
      <c r="G326" s="1" t="s">
        <v>77</v>
      </c>
      <c r="H326" s="1" t="s">
        <v>77</v>
      </c>
      <c r="I326" s="1" t="s">
        <v>77</v>
      </c>
      <c r="J326" s="1" t="s">
        <v>54</v>
      </c>
      <c r="K326" s="1" t="s">
        <v>171</v>
      </c>
      <c r="L326">
        <v>20220730131607</v>
      </c>
      <c r="M326" s="1" t="s">
        <v>520</v>
      </c>
      <c r="N326" s="1" t="s">
        <v>101</v>
      </c>
      <c r="O326">
        <v>7</v>
      </c>
      <c r="P326" s="3">
        <v>44772</v>
      </c>
      <c r="Q326">
        <v>30</v>
      </c>
    </row>
    <row r="327" spans="1:17" x14ac:dyDescent="0.3">
      <c r="A327" s="1" t="s">
        <v>519</v>
      </c>
      <c r="B327" s="2">
        <v>44772.552777777775</v>
      </c>
      <c r="C327" s="1" t="s">
        <v>18</v>
      </c>
      <c r="D327" s="1" t="s">
        <v>53</v>
      </c>
      <c r="E327" s="1" t="s">
        <v>77</v>
      </c>
      <c r="F327" s="1" t="s">
        <v>77</v>
      </c>
      <c r="G327" s="1" t="s">
        <v>77</v>
      </c>
      <c r="H327" s="1" t="s">
        <v>77</v>
      </c>
      <c r="I327" s="1" t="s">
        <v>77</v>
      </c>
      <c r="J327" s="1" t="s">
        <v>56</v>
      </c>
      <c r="K327" s="1" t="s">
        <v>197</v>
      </c>
      <c r="L327">
        <v>20220730131617</v>
      </c>
      <c r="M327" s="1" t="s">
        <v>521</v>
      </c>
      <c r="N327" s="1" t="s">
        <v>101</v>
      </c>
      <c r="O327">
        <v>7</v>
      </c>
      <c r="P327" s="3">
        <v>44772</v>
      </c>
      <c r="Q327">
        <v>30</v>
      </c>
    </row>
    <row r="328" spans="1:17" x14ac:dyDescent="0.3">
      <c r="A328" s="1" t="s">
        <v>519</v>
      </c>
      <c r="B328" s="2">
        <v>44772.552777777775</v>
      </c>
      <c r="C328" s="1" t="s">
        <v>18</v>
      </c>
      <c r="D328" s="1" t="s">
        <v>29</v>
      </c>
      <c r="E328" s="1" t="s">
        <v>77</v>
      </c>
      <c r="F328" s="1" t="s">
        <v>77</v>
      </c>
      <c r="G328" s="1" t="s">
        <v>77</v>
      </c>
      <c r="H328" s="1" t="s">
        <v>77</v>
      </c>
      <c r="I328" s="1" t="s">
        <v>77</v>
      </c>
      <c r="J328" s="1" t="s">
        <v>34</v>
      </c>
      <c r="K328" s="1" t="s">
        <v>171</v>
      </c>
      <c r="L328">
        <v>20220730131633</v>
      </c>
      <c r="M328" s="1" t="s">
        <v>522</v>
      </c>
      <c r="N328" s="1" t="s">
        <v>101</v>
      </c>
      <c r="O328">
        <v>7</v>
      </c>
      <c r="P328" s="3">
        <v>44772</v>
      </c>
      <c r="Q328">
        <v>30</v>
      </c>
    </row>
    <row r="329" spans="1:17" x14ac:dyDescent="0.3">
      <c r="A329" s="1" t="s">
        <v>519</v>
      </c>
      <c r="B329" s="2">
        <v>44772.553472222222</v>
      </c>
      <c r="C329" s="1" t="s">
        <v>18</v>
      </c>
      <c r="D329" s="1" t="s">
        <v>29</v>
      </c>
      <c r="E329" s="1" t="s">
        <v>77</v>
      </c>
      <c r="F329" s="1" t="s">
        <v>77</v>
      </c>
      <c r="G329" s="1" t="s">
        <v>77</v>
      </c>
      <c r="H329" s="1" t="s">
        <v>77</v>
      </c>
      <c r="I329" s="1" t="s">
        <v>77</v>
      </c>
      <c r="J329" s="1" t="s">
        <v>30</v>
      </c>
      <c r="K329" s="1" t="s">
        <v>523</v>
      </c>
      <c r="L329">
        <v>20220730131650</v>
      </c>
      <c r="M329" s="1" t="s">
        <v>524</v>
      </c>
      <c r="N329" s="1" t="s">
        <v>101</v>
      </c>
      <c r="O329">
        <v>7</v>
      </c>
      <c r="P329" s="3">
        <v>44772</v>
      </c>
      <c r="Q329">
        <v>30</v>
      </c>
    </row>
    <row r="330" spans="1:17" x14ac:dyDescent="0.3">
      <c r="A330" s="1" t="s">
        <v>525</v>
      </c>
      <c r="B330" s="2">
        <v>44772.553472222222</v>
      </c>
      <c r="C330" s="1" t="s">
        <v>18</v>
      </c>
      <c r="D330" s="1" t="s">
        <v>19</v>
      </c>
      <c r="E330" s="1" t="s">
        <v>77</v>
      </c>
      <c r="F330" s="1" t="s">
        <v>77</v>
      </c>
      <c r="G330" s="1" t="s">
        <v>77</v>
      </c>
      <c r="H330" s="1" t="s">
        <v>77</v>
      </c>
      <c r="I330" s="1" t="s">
        <v>77</v>
      </c>
      <c r="J330" s="1" t="s">
        <v>58</v>
      </c>
      <c r="K330" s="1" t="s">
        <v>331</v>
      </c>
      <c r="L330">
        <v>20220730131706</v>
      </c>
      <c r="M330" s="1" t="s">
        <v>526</v>
      </c>
      <c r="N330" s="1" t="s">
        <v>101</v>
      </c>
      <c r="O330">
        <v>7</v>
      </c>
      <c r="P330" s="3">
        <v>44772</v>
      </c>
      <c r="Q330">
        <v>30</v>
      </c>
    </row>
    <row r="331" spans="1:17" x14ac:dyDescent="0.3">
      <c r="A331" s="1" t="s">
        <v>525</v>
      </c>
      <c r="B331" s="2">
        <v>44772.553472222222</v>
      </c>
      <c r="C331" s="1" t="s">
        <v>18</v>
      </c>
      <c r="D331" s="1" t="s">
        <v>44</v>
      </c>
      <c r="E331" s="1" t="s">
        <v>77</v>
      </c>
      <c r="F331" s="1" t="s">
        <v>77</v>
      </c>
      <c r="G331" s="1" t="s">
        <v>77</v>
      </c>
      <c r="H331" s="1" t="s">
        <v>77</v>
      </c>
      <c r="I331" s="1" t="s">
        <v>77</v>
      </c>
      <c r="J331" s="1" t="s">
        <v>45</v>
      </c>
      <c r="K331" s="1" t="s">
        <v>421</v>
      </c>
      <c r="L331">
        <v>20220730131736</v>
      </c>
      <c r="M331" s="1" t="s">
        <v>527</v>
      </c>
      <c r="N331" s="1" t="s">
        <v>101</v>
      </c>
      <c r="O331">
        <v>7</v>
      </c>
      <c r="P331" s="3">
        <v>44772</v>
      </c>
      <c r="Q331">
        <v>30</v>
      </c>
    </row>
    <row r="332" spans="1:17" x14ac:dyDescent="0.3">
      <c r="A332" s="1" t="s">
        <v>525</v>
      </c>
      <c r="B332" s="2">
        <v>44772.554166666669</v>
      </c>
      <c r="C332" s="1" t="s">
        <v>168</v>
      </c>
      <c r="D332" s="1" t="s">
        <v>38</v>
      </c>
      <c r="E332" s="1" t="s">
        <v>77</v>
      </c>
      <c r="F332" s="1" t="s">
        <v>39</v>
      </c>
      <c r="G332" s="1" t="s">
        <v>485</v>
      </c>
      <c r="H332" s="1" t="s">
        <v>77</v>
      </c>
      <c r="I332" s="1" t="s">
        <v>77</v>
      </c>
      <c r="J332" s="1" t="s">
        <v>77</v>
      </c>
      <c r="K332" s="1" t="s">
        <v>77</v>
      </c>
      <c r="L332">
        <v>20220730131753</v>
      </c>
      <c r="M332" s="1" t="s">
        <v>528</v>
      </c>
      <c r="N332" s="1" t="s">
        <v>101</v>
      </c>
      <c r="O332">
        <v>7</v>
      </c>
      <c r="P332" s="3">
        <v>44772</v>
      </c>
      <c r="Q332">
        <v>30</v>
      </c>
    </row>
    <row r="333" spans="1:17" x14ac:dyDescent="0.3">
      <c r="A333" s="1" t="s">
        <v>529</v>
      </c>
      <c r="B333" s="2">
        <v>44772.554166666669</v>
      </c>
      <c r="C333" s="1" t="s">
        <v>434</v>
      </c>
      <c r="D333" s="1" t="s">
        <v>47</v>
      </c>
      <c r="E333" s="1" t="s">
        <v>77</v>
      </c>
      <c r="F333" s="1" t="s">
        <v>77</v>
      </c>
      <c r="G333" s="1" t="s">
        <v>77</v>
      </c>
      <c r="H333" s="1" t="s">
        <v>51</v>
      </c>
      <c r="I333" s="1" t="s">
        <v>435</v>
      </c>
      <c r="J333" s="1" t="s">
        <v>77</v>
      </c>
      <c r="K333" s="1" t="s">
        <v>77</v>
      </c>
      <c r="L333">
        <v>20220730131805</v>
      </c>
      <c r="M333" s="1" t="s">
        <v>530</v>
      </c>
      <c r="N333" s="1" t="s">
        <v>101</v>
      </c>
      <c r="O333">
        <v>7</v>
      </c>
      <c r="P333" s="3">
        <v>44772</v>
      </c>
      <c r="Q333">
        <v>30</v>
      </c>
    </row>
    <row r="334" spans="1:17" x14ac:dyDescent="0.3">
      <c r="A334" s="1" t="s">
        <v>529</v>
      </c>
      <c r="B334" s="2">
        <v>44772.554166666669</v>
      </c>
      <c r="C334" s="1" t="s">
        <v>18</v>
      </c>
      <c r="D334" s="1" t="s">
        <v>26</v>
      </c>
      <c r="E334" s="1" t="s">
        <v>77</v>
      </c>
      <c r="F334" s="1" t="s">
        <v>77</v>
      </c>
      <c r="G334" s="1" t="s">
        <v>77</v>
      </c>
      <c r="H334" s="1" t="s">
        <v>77</v>
      </c>
      <c r="I334" s="1" t="s">
        <v>77</v>
      </c>
      <c r="J334" s="1" t="s">
        <v>27</v>
      </c>
      <c r="K334" s="1" t="s">
        <v>309</v>
      </c>
      <c r="L334">
        <v>20220730131817</v>
      </c>
      <c r="M334" s="1" t="s">
        <v>531</v>
      </c>
      <c r="N334" s="1" t="s">
        <v>101</v>
      </c>
      <c r="O334">
        <v>7</v>
      </c>
      <c r="P334" s="3">
        <v>44772</v>
      </c>
      <c r="Q334">
        <v>30</v>
      </c>
    </row>
    <row r="335" spans="1:17" x14ac:dyDescent="0.3">
      <c r="A335" s="1" t="s">
        <v>529</v>
      </c>
      <c r="B335" s="2">
        <v>44772.554166666669</v>
      </c>
      <c r="C335" s="1" t="s">
        <v>37</v>
      </c>
      <c r="D335" s="1" t="s">
        <v>195</v>
      </c>
      <c r="E335" s="1" t="s">
        <v>21</v>
      </c>
      <c r="F335" s="1" t="s">
        <v>77</v>
      </c>
      <c r="G335" s="1" t="s">
        <v>77</v>
      </c>
      <c r="H335" s="1" t="s">
        <v>77</v>
      </c>
      <c r="I335" s="1" t="s">
        <v>77</v>
      </c>
      <c r="J335" s="1" t="s">
        <v>77</v>
      </c>
      <c r="K335" s="1" t="s">
        <v>77</v>
      </c>
      <c r="L335">
        <v>20220730131827</v>
      </c>
      <c r="M335" s="1" t="s">
        <v>532</v>
      </c>
      <c r="N335" s="1" t="s">
        <v>101</v>
      </c>
      <c r="O335">
        <v>7</v>
      </c>
      <c r="P335" s="3">
        <v>44772</v>
      </c>
      <c r="Q335">
        <v>30</v>
      </c>
    </row>
    <row r="336" spans="1:17" x14ac:dyDescent="0.3">
      <c r="A336" s="1" t="s">
        <v>533</v>
      </c>
      <c r="B336" s="2">
        <v>44774.365972222222</v>
      </c>
      <c r="C336" s="1" t="s">
        <v>37</v>
      </c>
      <c r="D336" s="1" t="s">
        <v>19</v>
      </c>
      <c r="E336" s="1" t="s">
        <v>58</v>
      </c>
      <c r="F336" s="1" t="s">
        <v>77</v>
      </c>
      <c r="G336" s="1" t="s">
        <v>77</v>
      </c>
      <c r="H336" s="1" t="s">
        <v>77</v>
      </c>
      <c r="I336" s="1" t="s">
        <v>77</v>
      </c>
      <c r="J336" s="1" t="s">
        <v>77</v>
      </c>
      <c r="K336" s="1" t="s">
        <v>77</v>
      </c>
      <c r="L336">
        <v>20220801084751</v>
      </c>
      <c r="M336" s="1" t="s">
        <v>534</v>
      </c>
      <c r="N336" s="1" t="s">
        <v>120</v>
      </c>
      <c r="O336">
        <v>8</v>
      </c>
      <c r="P336" s="3">
        <v>44774</v>
      </c>
      <c r="Q336">
        <v>31</v>
      </c>
    </row>
    <row r="337" spans="1:17" x14ac:dyDescent="0.3">
      <c r="A337" s="1" t="s">
        <v>535</v>
      </c>
      <c r="B337" s="2">
        <v>44774.366666666669</v>
      </c>
      <c r="C337" s="1" t="s">
        <v>37</v>
      </c>
      <c r="D337" s="1" t="s">
        <v>47</v>
      </c>
      <c r="E337" s="1" t="s">
        <v>536</v>
      </c>
      <c r="F337" s="1" t="s">
        <v>77</v>
      </c>
      <c r="G337" s="1" t="s">
        <v>77</v>
      </c>
      <c r="H337" s="1" t="s">
        <v>77</v>
      </c>
      <c r="I337" s="1" t="s">
        <v>77</v>
      </c>
      <c r="J337" s="1" t="s">
        <v>77</v>
      </c>
      <c r="K337" s="1" t="s">
        <v>77</v>
      </c>
      <c r="L337">
        <v>20220801084800</v>
      </c>
      <c r="M337" s="1" t="s">
        <v>537</v>
      </c>
      <c r="N337" s="1" t="s">
        <v>120</v>
      </c>
      <c r="O337">
        <v>8</v>
      </c>
      <c r="P337" s="3">
        <v>44774</v>
      </c>
      <c r="Q337">
        <v>31</v>
      </c>
    </row>
    <row r="338" spans="1:17" x14ac:dyDescent="0.3">
      <c r="A338" s="1" t="s">
        <v>535</v>
      </c>
      <c r="B338" s="2">
        <v>44774.366666666669</v>
      </c>
      <c r="C338" s="1" t="s">
        <v>37</v>
      </c>
      <c r="D338" s="1" t="s">
        <v>29</v>
      </c>
      <c r="E338" s="1" t="s">
        <v>30</v>
      </c>
      <c r="F338" s="1" t="s">
        <v>77</v>
      </c>
      <c r="G338" s="1" t="s">
        <v>77</v>
      </c>
      <c r="H338" s="1" t="s">
        <v>77</v>
      </c>
      <c r="I338" s="1" t="s">
        <v>77</v>
      </c>
      <c r="J338" s="1" t="s">
        <v>77</v>
      </c>
      <c r="K338" s="1" t="s">
        <v>77</v>
      </c>
      <c r="L338">
        <v>20220801084819</v>
      </c>
      <c r="M338" s="1" t="s">
        <v>538</v>
      </c>
      <c r="N338" s="1" t="s">
        <v>120</v>
      </c>
      <c r="O338">
        <v>8</v>
      </c>
      <c r="P338" s="3">
        <v>44774</v>
      </c>
      <c r="Q338">
        <v>31</v>
      </c>
    </row>
    <row r="339" spans="1:17" x14ac:dyDescent="0.3">
      <c r="A339" s="1" t="s">
        <v>535</v>
      </c>
      <c r="B339" s="2">
        <v>44774.366666666669</v>
      </c>
      <c r="C339" s="1" t="s">
        <v>37</v>
      </c>
      <c r="D339" s="1" t="s">
        <v>53</v>
      </c>
      <c r="E339" s="1" t="s">
        <v>54</v>
      </c>
      <c r="F339" s="1" t="s">
        <v>77</v>
      </c>
      <c r="G339" s="1" t="s">
        <v>77</v>
      </c>
      <c r="H339" s="1" t="s">
        <v>77</v>
      </c>
      <c r="I339" s="1" t="s">
        <v>77</v>
      </c>
      <c r="J339" s="1" t="s">
        <v>77</v>
      </c>
      <c r="K339" s="1" t="s">
        <v>77</v>
      </c>
      <c r="L339">
        <v>20220801084829</v>
      </c>
      <c r="M339" s="1" t="s">
        <v>539</v>
      </c>
      <c r="N339" s="1" t="s">
        <v>120</v>
      </c>
      <c r="O339">
        <v>8</v>
      </c>
      <c r="P339" s="3">
        <v>44774</v>
      </c>
      <c r="Q339">
        <v>31</v>
      </c>
    </row>
    <row r="340" spans="1:17" x14ac:dyDescent="0.3">
      <c r="A340" s="1" t="s">
        <v>535</v>
      </c>
      <c r="B340" s="2">
        <v>44774.366666666669</v>
      </c>
      <c r="C340" s="1" t="s">
        <v>37</v>
      </c>
      <c r="D340" s="1" t="s">
        <v>47</v>
      </c>
      <c r="E340" s="1" t="s">
        <v>51</v>
      </c>
      <c r="F340" s="1" t="s">
        <v>77</v>
      </c>
      <c r="G340" s="1" t="s">
        <v>77</v>
      </c>
      <c r="H340" s="1" t="s">
        <v>77</v>
      </c>
      <c r="I340" s="1" t="s">
        <v>77</v>
      </c>
      <c r="J340" s="1" t="s">
        <v>77</v>
      </c>
      <c r="K340" s="1" t="s">
        <v>77</v>
      </c>
      <c r="L340">
        <v>20220801084840</v>
      </c>
      <c r="M340" s="1" t="s">
        <v>540</v>
      </c>
      <c r="N340" s="1" t="s">
        <v>120</v>
      </c>
      <c r="O340">
        <v>8</v>
      </c>
      <c r="P340" s="3">
        <v>44774</v>
      </c>
      <c r="Q340">
        <v>31</v>
      </c>
    </row>
    <row r="341" spans="1:17" x14ac:dyDescent="0.3">
      <c r="A341" s="1" t="s">
        <v>535</v>
      </c>
      <c r="B341" s="2">
        <v>44774.366666666669</v>
      </c>
      <c r="C341" s="1" t="s">
        <v>37</v>
      </c>
      <c r="D341" s="1" t="s">
        <v>60</v>
      </c>
      <c r="E341" s="1" t="s">
        <v>61</v>
      </c>
      <c r="F341" s="1" t="s">
        <v>77</v>
      </c>
      <c r="G341" s="1" t="s">
        <v>77</v>
      </c>
      <c r="H341" s="1" t="s">
        <v>77</v>
      </c>
      <c r="I341" s="1" t="s">
        <v>77</v>
      </c>
      <c r="J341" s="1" t="s">
        <v>77</v>
      </c>
      <c r="K341" s="1" t="s">
        <v>77</v>
      </c>
      <c r="L341">
        <v>20220801084849</v>
      </c>
      <c r="M341" s="1" t="s">
        <v>541</v>
      </c>
      <c r="N341" s="1" t="s">
        <v>120</v>
      </c>
      <c r="O341">
        <v>8</v>
      </c>
      <c r="P341" s="3">
        <v>44774</v>
      </c>
      <c r="Q341">
        <v>31</v>
      </c>
    </row>
    <row r="342" spans="1:17" x14ac:dyDescent="0.3">
      <c r="A342" s="1" t="s">
        <v>542</v>
      </c>
      <c r="B342" s="2">
        <v>44774.386111111111</v>
      </c>
      <c r="C342" s="1" t="s">
        <v>37</v>
      </c>
      <c r="D342" s="1" t="s">
        <v>44</v>
      </c>
      <c r="E342" s="1" t="s">
        <v>45</v>
      </c>
      <c r="F342" s="1" t="s">
        <v>77</v>
      </c>
      <c r="G342" s="1" t="s">
        <v>77</v>
      </c>
      <c r="H342" s="1" t="s">
        <v>77</v>
      </c>
      <c r="I342" s="1" t="s">
        <v>77</v>
      </c>
      <c r="J342" s="1" t="s">
        <v>77</v>
      </c>
      <c r="K342" s="1" t="s">
        <v>77</v>
      </c>
      <c r="L342">
        <v>20220801091554</v>
      </c>
      <c r="M342" s="1" t="s">
        <v>543</v>
      </c>
      <c r="N342" s="1" t="s">
        <v>120</v>
      </c>
      <c r="O342">
        <v>8</v>
      </c>
      <c r="P342" s="3">
        <v>44774</v>
      </c>
      <c r="Q342">
        <v>31</v>
      </c>
    </row>
    <row r="343" spans="1:17" x14ac:dyDescent="0.3">
      <c r="A343" s="1" t="s">
        <v>544</v>
      </c>
      <c r="B343" s="2">
        <v>44774.386111111111</v>
      </c>
      <c r="C343" s="1" t="s">
        <v>18</v>
      </c>
      <c r="D343" s="1" t="s">
        <v>195</v>
      </c>
      <c r="E343" s="1" t="s">
        <v>20</v>
      </c>
      <c r="F343" s="1" t="s">
        <v>77</v>
      </c>
      <c r="G343" s="1" t="s">
        <v>77</v>
      </c>
      <c r="H343" s="1" t="s">
        <v>77</v>
      </c>
      <c r="I343" s="1" t="s">
        <v>77</v>
      </c>
      <c r="J343" s="1" t="s">
        <v>21</v>
      </c>
      <c r="K343" s="1" t="s">
        <v>331</v>
      </c>
      <c r="L343">
        <v>20220801091617</v>
      </c>
      <c r="M343" s="1" t="s">
        <v>545</v>
      </c>
      <c r="N343" s="1" t="s">
        <v>120</v>
      </c>
      <c r="O343">
        <v>8</v>
      </c>
      <c r="P343" s="3">
        <v>44774</v>
      </c>
      <c r="Q343">
        <v>31</v>
      </c>
    </row>
    <row r="344" spans="1:17" x14ac:dyDescent="0.3">
      <c r="A344" s="1" t="s">
        <v>544</v>
      </c>
      <c r="B344" s="2">
        <v>44774.386111111111</v>
      </c>
      <c r="C344" s="1" t="s">
        <v>37</v>
      </c>
      <c r="D344" s="1" t="s">
        <v>26</v>
      </c>
      <c r="E344" s="1" t="s">
        <v>27</v>
      </c>
      <c r="F344" s="1" t="s">
        <v>77</v>
      </c>
      <c r="G344" s="1" t="s">
        <v>77</v>
      </c>
      <c r="H344" s="1" t="s">
        <v>77</v>
      </c>
      <c r="I344" s="1" t="s">
        <v>77</v>
      </c>
      <c r="J344" s="1" t="s">
        <v>77</v>
      </c>
      <c r="K344" s="1" t="s">
        <v>77</v>
      </c>
      <c r="L344">
        <v>20220801091627</v>
      </c>
      <c r="M344" s="1" t="s">
        <v>546</v>
      </c>
      <c r="N344" s="1" t="s">
        <v>120</v>
      </c>
      <c r="O344">
        <v>8</v>
      </c>
      <c r="P344" s="3">
        <v>44774</v>
      </c>
      <c r="Q344">
        <v>31</v>
      </c>
    </row>
    <row r="345" spans="1:17" x14ac:dyDescent="0.3">
      <c r="A345" s="1" t="s">
        <v>544</v>
      </c>
      <c r="B345" s="2">
        <v>44774.386111111111</v>
      </c>
      <c r="C345" s="1" t="s">
        <v>168</v>
      </c>
      <c r="D345" s="1" t="s">
        <v>38</v>
      </c>
      <c r="E345" s="1" t="s">
        <v>77</v>
      </c>
      <c r="F345" s="1" t="s">
        <v>39</v>
      </c>
      <c r="G345" s="1" t="s">
        <v>485</v>
      </c>
      <c r="H345" s="1" t="s">
        <v>77</v>
      </c>
      <c r="I345" s="1" t="s">
        <v>77</v>
      </c>
      <c r="J345" s="1" t="s">
        <v>77</v>
      </c>
      <c r="K345" s="1" t="s">
        <v>77</v>
      </c>
      <c r="L345">
        <v>20220801091647</v>
      </c>
      <c r="M345" s="1" t="s">
        <v>547</v>
      </c>
      <c r="N345" s="1" t="s">
        <v>120</v>
      </c>
      <c r="O345">
        <v>8</v>
      </c>
      <c r="P345" s="3">
        <v>44774</v>
      </c>
      <c r="Q345">
        <v>31</v>
      </c>
    </row>
    <row r="346" spans="1:17" x14ac:dyDescent="0.3">
      <c r="A346" s="1" t="s">
        <v>548</v>
      </c>
      <c r="B346" s="2">
        <v>44774.386805555558</v>
      </c>
      <c r="C346" s="1" t="s">
        <v>37</v>
      </c>
      <c r="D346" s="1" t="s">
        <v>41</v>
      </c>
      <c r="E346" s="1" t="s">
        <v>42</v>
      </c>
      <c r="F346" s="1" t="s">
        <v>77</v>
      </c>
      <c r="G346" s="1" t="s">
        <v>77</v>
      </c>
      <c r="H346" s="1" t="s">
        <v>77</v>
      </c>
      <c r="I346" s="1" t="s">
        <v>77</v>
      </c>
      <c r="J346" s="1" t="s">
        <v>77</v>
      </c>
      <c r="K346" s="1" t="s">
        <v>77</v>
      </c>
      <c r="L346">
        <v>20220801091707</v>
      </c>
      <c r="M346" s="1" t="s">
        <v>549</v>
      </c>
      <c r="N346" s="1" t="s">
        <v>120</v>
      </c>
      <c r="O346">
        <v>8</v>
      </c>
      <c r="P346" s="3">
        <v>44774</v>
      </c>
      <c r="Q346">
        <v>31</v>
      </c>
    </row>
    <row r="347" spans="1:17" x14ac:dyDescent="0.3">
      <c r="A347" s="1" t="s">
        <v>548</v>
      </c>
      <c r="B347" s="2">
        <v>44774.386805555558</v>
      </c>
      <c r="C347" s="1" t="s">
        <v>37</v>
      </c>
      <c r="D347" s="1" t="s">
        <v>47</v>
      </c>
      <c r="E347" s="1" t="s">
        <v>48</v>
      </c>
      <c r="F347" s="1" t="s">
        <v>77</v>
      </c>
      <c r="G347" s="1" t="s">
        <v>77</v>
      </c>
      <c r="H347" s="1" t="s">
        <v>77</v>
      </c>
      <c r="I347" s="1" t="s">
        <v>77</v>
      </c>
      <c r="J347" s="1" t="s">
        <v>77</v>
      </c>
      <c r="K347" s="1" t="s">
        <v>77</v>
      </c>
      <c r="L347">
        <v>20220801091729</v>
      </c>
      <c r="M347" s="1" t="s">
        <v>550</v>
      </c>
      <c r="N347" s="1" t="s">
        <v>120</v>
      </c>
      <c r="O347">
        <v>8</v>
      </c>
      <c r="P347" s="3">
        <v>44774</v>
      </c>
      <c r="Q347">
        <v>31</v>
      </c>
    </row>
    <row r="348" spans="1:17" x14ac:dyDescent="0.3">
      <c r="A348" s="1" t="s">
        <v>551</v>
      </c>
      <c r="B348" s="2">
        <v>44774.387499999997</v>
      </c>
      <c r="C348" s="1" t="s">
        <v>37</v>
      </c>
      <c r="D348" s="1" t="s">
        <v>53</v>
      </c>
      <c r="E348" s="1" t="s">
        <v>56</v>
      </c>
      <c r="F348" s="1" t="s">
        <v>77</v>
      </c>
      <c r="G348" s="1" t="s">
        <v>77</v>
      </c>
      <c r="H348" s="1" t="s">
        <v>77</v>
      </c>
      <c r="I348" s="1" t="s">
        <v>77</v>
      </c>
      <c r="J348" s="1" t="s">
        <v>77</v>
      </c>
      <c r="K348" s="1" t="s">
        <v>77</v>
      </c>
      <c r="L348">
        <v>20220801091820</v>
      </c>
      <c r="M348" s="1" t="s">
        <v>552</v>
      </c>
      <c r="N348" s="1" t="s">
        <v>120</v>
      </c>
      <c r="O348">
        <v>8</v>
      </c>
      <c r="P348" s="3">
        <v>44774</v>
      </c>
      <c r="Q348">
        <v>31</v>
      </c>
    </row>
    <row r="349" spans="1:17" x14ac:dyDescent="0.3">
      <c r="A349" s="1" t="s">
        <v>553</v>
      </c>
      <c r="B349" s="2">
        <v>44774.431250000001</v>
      </c>
      <c r="C349" s="1" t="s">
        <v>37</v>
      </c>
      <c r="D349" s="1" t="s">
        <v>29</v>
      </c>
      <c r="E349" s="1" t="s">
        <v>554</v>
      </c>
      <c r="F349" s="1" t="s">
        <v>77</v>
      </c>
      <c r="G349" s="1" t="s">
        <v>77</v>
      </c>
      <c r="H349" s="1" t="s">
        <v>77</v>
      </c>
      <c r="I349" s="1" t="s">
        <v>77</v>
      </c>
      <c r="J349" s="1" t="s">
        <v>77</v>
      </c>
      <c r="K349" s="1" t="s">
        <v>77</v>
      </c>
      <c r="L349">
        <v>20220801102132</v>
      </c>
      <c r="M349" s="1" t="s">
        <v>555</v>
      </c>
      <c r="N349" s="1" t="s">
        <v>120</v>
      </c>
      <c r="O349">
        <v>8</v>
      </c>
      <c r="P349" s="3">
        <v>44774</v>
      </c>
      <c r="Q349">
        <v>31</v>
      </c>
    </row>
    <row r="350" spans="1:17" x14ac:dyDescent="0.3">
      <c r="A350" s="1" t="s">
        <v>556</v>
      </c>
      <c r="B350" s="2">
        <v>44775.408333333333</v>
      </c>
      <c r="C350" s="1" t="s">
        <v>37</v>
      </c>
      <c r="D350" s="1" t="s">
        <v>19</v>
      </c>
      <c r="E350" s="1" t="s">
        <v>58</v>
      </c>
      <c r="F350" s="1" t="s">
        <v>77</v>
      </c>
      <c r="G350" s="1" t="s">
        <v>77</v>
      </c>
      <c r="H350" s="1" t="s">
        <v>77</v>
      </c>
      <c r="I350" s="1" t="s">
        <v>77</v>
      </c>
      <c r="J350" s="1" t="s">
        <v>77</v>
      </c>
      <c r="K350" s="1" t="s">
        <v>77</v>
      </c>
      <c r="L350">
        <v>20220802094151</v>
      </c>
      <c r="M350" s="1" t="s">
        <v>557</v>
      </c>
      <c r="N350" s="1" t="s">
        <v>140</v>
      </c>
      <c r="O350">
        <v>8</v>
      </c>
      <c r="P350" s="3">
        <v>44775</v>
      </c>
      <c r="Q350">
        <v>31</v>
      </c>
    </row>
    <row r="351" spans="1:17" x14ac:dyDescent="0.3">
      <c r="A351" s="1" t="s">
        <v>558</v>
      </c>
      <c r="B351" s="2">
        <v>44775.408333333333</v>
      </c>
      <c r="C351" s="1" t="s">
        <v>18</v>
      </c>
      <c r="D351" s="1" t="s">
        <v>26</v>
      </c>
      <c r="E351" s="1" t="s">
        <v>20</v>
      </c>
      <c r="F351" s="1" t="s">
        <v>77</v>
      </c>
      <c r="G351" s="1" t="s">
        <v>77</v>
      </c>
      <c r="H351" s="1" t="s">
        <v>77</v>
      </c>
      <c r="I351" s="1" t="s">
        <v>77</v>
      </c>
      <c r="J351" s="1" t="s">
        <v>27</v>
      </c>
      <c r="K351" s="1" t="s">
        <v>22</v>
      </c>
      <c r="L351">
        <v>20220802094806</v>
      </c>
      <c r="M351" s="1" t="s">
        <v>559</v>
      </c>
      <c r="N351" s="1" t="s">
        <v>140</v>
      </c>
      <c r="O351">
        <v>8</v>
      </c>
      <c r="P351" s="3">
        <v>44775</v>
      </c>
      <c r="Q351">
        <v>31</v>
      </c>
    </row>
    <row r="352" spans="1:17" x14ac:dyDescent="0.3">
      <c r="A352" s="1" t="s">
        <v>558</v>
      </c>
      <c r="B352" s="2">
        <v>44775.408333333333</v>
      </c>
      <c r="C352" s="1" t="s">
        <v>37</v>
      </c>
      <c r="D352" s="1" t="s">
        <v>41</v>
      </c>
      <c r="E352" s="1" t="s">
        <v>42</v>
      </c>
      <c r="F352" s="1" t="s">
        <v>77</v>
      </c>
      <c r="G352" s="1" t="s">
        <v>77</v>
      </c>
      <c r="H352" s="1" t="s">
        <v>77</v>
      </c>
      <c r="I352" s="1" t="s">
        <v>77</v>
      </c>
      <c r="J352" s="1" t="s">
        <v>77</v>
      </c>
      <c r="K352" s="1" t="s">
        <v>77</v>
      </c>
      <c r="L352">
        <v>20220802094822</v>
      </c>
      <c r="M352" s="1" t="s">
        <v>560</v>
      </c>
      <c r="N352" s="1" t="s">
        <v>140</v>
      </c>
      <c r="O352">
        <v>8</v>
      </c>
      <c r="P352" s="3">
        <v>44775</v>
      </c>
      <c r="Q352">
        <v>31</v>
      </c>
    </row>
    <row r="353" spans="1:17" x14ac:dyDescent="0.3">
      <c r="A353" s="1" t="s">
        <v>558</v>
      </c>
      <c r="B353" s="2">
        <v>44775.408333333333</v>
      </c>
      <c r="C353" s="1" t="s">
        <v>37</v>
      </c>
      <c r="D353" s="1" t="s">
        <v>44</v>
      </c>
      <c r="E353" s="1" t="s">
        <v>45</v>
      </c>
      <c r="F353" s="1" t="s">
        <v>77</v>
      </c>
      <c r="G353" s="1" t="s">
        <v>77</v>
      </c>
      <c r="H353" s="1" t="s">
        <v>77</v>
      </c>
      <c r="I353" s="1" t="s">
        <v>77</v>
      </c>
      <c r="J353" s="1" t="s">
        <v>77</v>
      </c>
      <c r="K353" s="1" t="s">
        <v>77</v>
      </c>
      <c r="L353">
        <v>20220802094834</v>
      </c>
      <c r="M353" s="1" t="s">
        <v>561</v>
      </c>
      <c r="N353" s="1" t="s">
        <v>140</v>
      </c>
      <c r="O353">
        <v>8</v>
      </c>
      <c r="P353" s="3">
        <v>44775</v>
      </c>
      <c r="Q353">
        <v>31</v>
      </c>
    </row>
    <row r="354" spans="1:17" x14ac:dyDescent="0.3">
      <c r="A354" s="1" t="s">
        <v>558</v>
      </c>
      <c r="B354" s="2">
        <v>44775.408333333333</v>
      </c>
      <c r="C354" s="1" t="s">
        <v>37</v>
      </c>
      <c r="D354" s="1" t="s">
        <v>47</v>
      </c>
      <c r="E354" s="1" t="s">
        <v>48</v>
      </c>
      <c r="F354" s="1" t="s">
        <v>77</v>
      </c>
      <c r="G354" s="1" t="s">
        <v>77</v>
      </c>
      <c r="H354" s="1" t="s">
        <v>77</v>
      </c>
      <c r="I354" s="1" t="s">
        <v>77</v>
      </c>
      <c r="J354" s="1" t="s">
        <v>77</v>
      </c>
      <c r="K354" s="1" t="s">
        <v>77</v>
      </c>
      <c r="L354">
        <v>20220802094841</v>
      </c>
      <c r="M354" s="1" t="s">
        <v>562</v>
      </c>
      <c r="N354" s="1" t="s">
        <v>140</v>
      </c>
      <c r="O354">
        <v>8</v>
      </c>
      <c r="P354" s="3">
        <v>44775</v>
      </c>
      <c r="Q354">
        <v>31</v>
      </c>
    </row>
    <row r="355" spans="1:17" x14ac:dyDescent="0.3">
      <c r="A355" s="1" t="s">
        <v>558</v>
      </c>
      <c r="B355" s="2">
        <v>44775.408333333333</v>
      </c>
      <c r="C355" s="1" t="s">
        <v>37</v>
      </c>
      <c r="D355" s="1" t="s">
        <v>47</v>
      </c>
      <c r="E355" s="1" t="s">
        <v>51</v>
      </c>
      <c r="F355" s="1" t="s">
        <v>77</v>
      </c>
      <c r="G355" s="1" t="s">
        <v>77</v>
      </c>
      <c r="H355" s="1" t="s">
        <v>77</v>
      </c>
      <c r="I355" s="1" t="s">
        <v>77</v>
      </c>
      <c r="J355" s="1" t="s">
        <v>77</v>
      </c>
      <c r="K355" s="1" t="s">
        <v>77</v>
      </c>
      <c r="L355">
        <v>20220802094851</v>
      </c>
      <c r="M355" s="1" t="s">
        <v>563</v>
      </c>
      <c r="N355" s="1" t="s">
        <v>140</v>
      </c>
      <c r="O355">
        <v>8</v>
      </c>
      <c r="P355" s="3">
        <v>44775</v>
      </c>
      <c r="Q355">
        <v>31</v>
      </c>
    </row>
    <row r="356" spans="1:17" x14ac:dyDescent="0.3">
      <c r="A356" s="1" t="s">
        <v>564</v>
      </c>
      <c r="B356" s="2">
        <v>44775.40902777778</v>
      </c>
      <c r="C356" s="1" t="s">
        <v>37</v>
      </c>
      <c r="D356" s="1" t="s">
        <v>47</v>
      </c>
      <c r="E356" s="1" t="s">
        <v>536</v>
      </c>
      <c r="F356" s="1" t="s">
        <v>77</v>
      </c>
      <c r="G356" s="1" t="s">
        <v>77</v>
      </c>
      <c r="H356" s="1" t="s">
        <v>77</v>
      </c>
      <c r="I356" s="1" t="s">
        <v>77</v>
      </c>
      <c r="J356" s="1" t="s">
        <v>77</v>
      </c>
      <c r="K356" s="1" t="s">
        <v>77</v>
      </c>
      <c r="L356">
        <v>20220802094927</v>
      </c>
      <c r="M356" s="1" t="s">
        <v>565</v>
      </c>
      <c r="N356" s="1" t="s">
        <v>140</v>
      </c>
      <c r="O356">
        <v>8</v>
      </c>
      <c r="P356" s="3">
        <v>44775</v>
      </c>
      <c r="Q356">
        <v>31</v>
      </c>
    </row>
    <row r="357" spans="1:17" x14ac:dyDescent="0.3">
      <c r="A357" s="1" t="s">
        <v>564</v>
      </c>
      <c r="B357" s="2">
        <v>44775.40902777778</v>
      </c>
      <c r="C357" s="1" t="s">
        <v>37</v>
      </c>
      <c r="D357" s="1" t="s">
        <v>53</v>
      </c>
      <c r="E357" s="1" t="s">
        <v>54</v>
      </c>
      <c r="F357" s="1" t="s">
        <v>77</v>
      </c>
      <c r="G357" s="1" t="s">
        <v>77</v>
      </c>
      <c r="H357" s="1" t="s">
        <v>77</v>
      </c>
      <c r="I357" s="1" t="s">
        <v>77</v>
      </c>
      <c r="J357" s="1" t="s">
        <v>77</v>
      </c>
      <c r="K357" s="1" t="s">
        <v>77</v>
      </c>
      <c r="L357">
        <v>20220802094940</v>
      </c>
      <c r="M357" s="1" t="s">
        <v>566</v>
      </c>
      <c r="N357" s="1" t="s">
        <v>140</v>
      </c>
      <c r="O357">
        <v>8</v>
      </c>
      <c r="P357" s="3">
        <v>44775</v>
      </c>
      <c r="Q357">
        <v>31</v>
      </c>
    </row>
    <row r="358" spans="1:17" x14ac:dyDescent="0.3">
      <c r="A358" s="1" t="s">
        <v>564</v>
      </c>
      <c r="B358" s="2">
        <v>44775.40902777778</v>
      </c>
      <c r="C358" s="1" t="s">
        <v>37</v>
      </c>
      <c r="D358" s="1" t="s">
        <v>60</v>
      </c>
      <c r="E358" s="1" t="s">
        <v>61</v>
      </c>
      <c r="F358" s="1" t="s">
        <v>77</v>
      </c>
      <c r="G358" s="1" t="s">
        <v>77</v>
      </c>
      <c r="H358" s="1" t="s">
        <v>77</v>
      </c>
      <c r="I358" s="1" t="s">
        <v>77</v>
      </c>
      <c r="J358" s="1" t="s">
        <v>77</v>
      </c>
      <c r="K358" s="1" t="s">
        <v>77</v>
      </c>
      <c r="L358">
        <v>20220802094947</v>
      </c>
      <c r="M358" s="1" t="s">
        <v>567</v>
      </c>
      <c r="N358" s="1" t="s">
        <v>140</v>
      </c>
      <c r="O358">
        <v>8</v>
      </c>
      <c r="P358" s="3">
        <v>44775</v>
      </c>
      <c r="Q358">
        <v>31</v>
      </c>
    </row>
    <row r="359" spans="1:17" x14ac:dyDescent="0.3">
      <c r="A359" s="1" t="s">
        <v>564</v>
      </c>
      <c r="B359" s="2">
        <v>44775.409722222219</v>
      </c>
      <c r="C359" s="1" t="s">
        <v>37</v>
      </c>
      <c r="D359" s="1" t="s">
        <v>29</v>
      </c>
      <c r="E359" s="1" t="s">
        <v>30</v>
      </c>
      <c r="F359" s="1" t="s">
        <v>77</v>
      </c>
      <c r="G359" s="1" t="s">
        <v>77</v>
      </c>
      <c r="H359" s="1" t="s">
        <v>77</v>
      </c>
      <c r="I359" s="1" t="s">
        <v>77</v>
      </c>
      <c r="J359" s="1" t="s">
        <v>77</v>
      </c>
      <c r="K359" s="1" t="s">
        <v>77</v>
      </c>
      <c r="L359">
        <v>20220802094957</v>
      </c>
      <c r="M359" s="1" t="s">
        <v>568</v>
      </c>
      <c r="N359" s="1" t="s">
        <v>140</v>
      </c>
      <c r="O359">
        <v>8</v>
      </c>
      <c r="P359" s="3">
        <v>44775</v>
      </c>
      <c r="Q359">
        <v>31</v>
      </c>
    </row>
    <row r="360" spans="1:17" x14ac:dyDescent="0.3">
      <c r="A360" s="1" t="s">
        <v>569</v>
      </c>
      <c r="B360" s="2">
        <v>44775.409722222219</v>
      </c>
      <c r="C360" s="1" t="s">
        <v>37</v>
      </c>
      <c r="D360" s="1" t="s">
        <v>29</v>
      </c>
      <c r="E360" s="1" t="s">
        <v>554</v>
      </c>
      <c r="F360" s="1" t="s">
        <v>77</v>
      </c>
      <c r="G360" s="1" t="s">
        <v>77</v>
      </c>
      <c r="H360" s="1" t="s">
        <v>77</v>
      </c>
      <c r="I360" s="1" t="s">
        <v>77</v>
      </c>
      <c r="J360" s="1" t="s">
        <v>77</v>
      </c>
      <c r="K360" s="1" t="s">
        <v>77</v>
      </c>
      <c r="L360">
        <v>20220802095004</v>
      </c>
      <c r="M360" s="1" t="s">
        <v>570</v>
      </c>
      <c r="N360" s="1" t="s">
        <v>140</v>
      </c>
      <c r="O360">
        <v>8</v>
      </c>
      <c r="P360" s="3">
        <v>44775</v>
      </c>
      <c r="Q360">
        <v>31</v>
      </c>
    </row>
    <row r="361" spans="1:17" x14ac:dyDescent="0.3">
      <c r="A361" s="1" t="s">
        <v>569</v>
      </c>
      <c r="B361" s="2">
        <v>44775.409722222219</v>
      </c>
      <c r="C361" s="1" t="s">
        <v>168</v>
      </c>
      <c r="D361" s="1" t="s">
        <v>38</v>
      </c>
      <c r="E361" s="1" t="s">
        <v>77</v>
      </c>
      <c r="F361" s="1" t="s">
        <v>39</v>
      </c>
      <c r="G361" s="1" t="s">
        <v>485</v>
      </c>
      <c r="H361" s="1" t="s">
        <v>77</v>
      </c>
      <c r="I361" s="1" t="s">
        <v>77</v>
      </c>
      <c r="J361" s="1" t="s">
        <v>77</v>
      </c>
      <c r="K361" s="1" t="s">
        <v>77</v>
      </c>
      <c r="L361">
        <v>20220802095012</v>
      </c>
      <c r="M361" s="1" t="s">
        <v>571</v>
      </c>
      <c r="N361" s="1" t="s">
        <v>140</v>
      </c>
      <c r="O361">
        <v>8</v>
      </c>
      <c r="P361" s="3">
        <v>44775</v>
      </c>
      <c r="Q361">
        <v>31</v>
      </c>
    </row>
    <row r="362" spans="1:17" x14ac:dyDescent="0.3">
      <c r="A362" s="1" t="s">
        <v>569</v>
      </c>
      <c r="B362" s="2">
        <v>44775.409722222219</v>
      </c>
      <c r="C362" s="1" t="s">
        <v>18</v>
      </c>
      <c r="D362" s="1" t="s">
        <v>195</v>
      </c>
      <c r="E362" s="1" t="s">
        <v>77</v>
      </c>
      <c r="F362" s="1" t="s">
        <v>77</v>
      </c>
      <c r="G362" s="1" t="s">
        <v>77</v>
      </c>
      <c r="H362" s="1" t="s">
        <v>77</v>
      </c>
      <c r="I362" s="1" t="s">
        <v>77</v>
      </c>
      <c r="J362" s="1" t="s">
        <v>21</v>
      </c>
      <c r="K362" s="1" t="s">
        <v>331</v>
      </c>
      <c r="L362">
        <v>20220802095024</v>
      </c>
      <c r="M362" s="1" t="s">
        <v>572</v>
      </c>
      <c r="N362" s="1" t="s">
        <v>140</v>
      </c>
      <c r="O362">
        <v>8</v>
      </c>
      <c r="P362" s="3">
        <v>44775</v>
      </c>
      <c r="Q362">
        <v>31</v>
      </c>
    </row>
    <row r="363" spans="1:17" x14ac:dyDescent="0.3">
      <c r="A363" s="1" t="s">
        <v>569</v>
      </c>
      <c r="B363" s="2">
        <v>44775.409722222219</v>
      </c>
      <c r="C363" s="1" t="s">
        <v>37</v>
      </c>
      <c r="D363" s="1" t="s">
        <v>53</v>
      </c>
      <c r="E363" s="1" t="s">
        <v>56</v>
      </c>
      <c r="F363" s="1" t="s">
        <v>77</v>
      </c>
      <c r="G363" s="1" t="s">
        <v>77</v>
      </c>
      <c r="H363" s="1" t="s">
        <v>77</v>
      </c>
      <c r="I363" s="1" t="s">
        <v>77</v>
      </c>
      <c r="J363" s="1" t="s">
        <v>77</v>
      </c>
      <c r="K363" s="1" t="s">
        <v>77</v>
      </c>
      <c r="L363">
        <v>20220802095039</v>
      </c>
      <c r="M363" s="1" t="s">
        <v>573</v>
      </c>
      <c r="N363" s="1" t="s">
        <v>140</v>
      </c>
      <c r="O363">
        <v>8</v>
      </c>
      <c r="P363" s="3">
        <v>44775</v>
      </c>
      <c r="Q363">
        <v>31</v>
      </c>
    </row>
    <row r="364" spans="1:17" x14ac:dyDescent="0.3">
      <c r="A364" s="1" t="s">
        <v>556</v>
      </c>
      <c r="B364" s="2">
        <v>44775.408333333333</v>
      </c>
      <c r="C364" s="1" t="s">
        <v>37</v>
      </c>
      <c r="D364" s="1" t="s">
        <v>19</v>
      </c>
      <c r="E364" s="1" t="s">
        <v>58</v>
      </c>
      <c r="F364" s="1" t="s">
        <v>77</v>
      </c>
      <c r="G364" s="1" t="s">
        <v>77</v>
      </c>
      <c r="H364" s="1" t="s">
        <v>77</v>
      </c>
      <c r="I364" s="1" t="s">
        <v>77</v>
      </c>
      <c r="J364" s="1" t="s">
        <v>77</v>
      </c>
      <c r="K364" s="1" t="s">
        <v>77</v>
      </c>
      <c r="L364">
        <v>20220802094151</v>
      </c>
      <c r="M364" s="1" t="s">
        <v>557</v>
      </c>
      <c r="N364" s="1" t="s">
        <v>140</v>
      </c>
      <c r="O364">
        <v>8</v>
      </c>
      <c r="P364" s="3">
        <v>44775</v>
      </c>
      <c r="Q364">
        <v>31</v>
      </c>
    </row>
    <row r="365" spans="1:17" x14ac:dyDescent="0.3">
      <c r="A365" s="1" t="s">
        <v>574</v>
      </c>
      <c r="B365" s="2">
        <v>44776.397222222222</v>
      </c>
      <c r="C365" s="1" t="s">
        <v>37</v>
      </c>
      <c r="D365" s="1" t="s">
        <v>60</v>
      </c>
      <c r="E365" s="1" t="s">
        <v>61</v>
      </c>
      <c r="F365" s="1" t="s">
        <v>77</v>
      </c>
      <c r="G365" s="1" t="s">
        <v>77</v>
      </c>
      <c r="H365" s="1" t="s">
        <v>77</v>
      </c>
      <c r="I365" s="1" t="s">
        <v>77</v>
      </c>
      <c r="J365" s="1" t="s">
        <v>77</v>
      </c>
      <c r="K365" s="1" t="s">
        <v>77</v>
      </c>
      <c r="L365">
        <v>20220803093207</v>
      </c>
      <c r="M365" s="1" t="s">
        <v>575</v>
      </c>
      <c r="N365" s="1" t="s">
        <v>24</v>
      </c>
      <c r="O365">
        <v>8</v>
      </c>
      <c r="P365" s="3">
        <v>44776</v>
      </c>
      <c r="Q365">
        <v>31</v>
      </c>
    </row>
    <row r="366" spans="1:17" x14ac:dyDescent="0.3">
      <c r="A366" s="1" t="s">
        <v>574</v>
      </c>
      <c r="B366" s="2">
        <v>44776.397222222222</v>
      </c>
      <c r="C366" s="1" t="s">
        <v>37</v>
      </c>
      <c r="D366" s="1" t="s">
        <v>19</v>
      </c>
      <c r="E366" s="1" t="s">
        <v>58</v>
      </c>
      <c r="F366" s="1" t="s">
        <v>77</v>
      </c>
      <c r="G366" s="1" t="s">
        <v>77</v>
      </c>
      <c r="H366" s="1" t="s">
        <v>77</v>
      </c>
      <c r="I366" s="1" t="s">
        <v>77</v>
      </c>
      <c r="J366" s="1" t="s">
        <v>77</v>
      </c>
      <c r="K366" s="1" t="s">
        <v>77</v>
      </c>
      <c r="L366">
        <v>20220803093221</v>
      </c>
      <c r="M366" s="1" t="s">
        <v>576</v>
      </c>
      <c r="N366" s="1" t="s">
        <v>24</v>
      </c>
      <c r="O366">
        <v>8</v>
      </c>
      <c r="P366" s="3">
        <v>44776</v>
      </c>
      <c r="Q366">
        <v>31</v>
      </c>
    </row>
    <row r="367" spans="1:17" x14ac:dyDescent="0.3">
      <c r="A367" s="1" t="s">
        <v>574</v>
      </c>
      <c r="B367" s="2">
        <v>44776.397222222222</v>
      </c>
      <c r="C367" s="1" t="s">
        <v>37</v>
      </c>
      <c r="D367" s="1" t="s">
        <v>53</v>
      </c>
      <c r="E367" s="1" t="s">
        <v>54</v>
      </c>
      <c r="F367" s="1" t="s">
        <v>77</v>
      </c>
      <c r="G367" s="1" t="s">
        <v>77</v>
      </c>
      <c r="H367" s="1" t="s">
        <v>77</v>
      </c>
      <c r="I367" s="1" t="s">
        <v>77</v>
      </c>
      <c r="J367" s="1" t="s">
        <v>77</v>
      </c>
      <c r="K367" s="1" t="s">
        <v>77</v>
      </c>
      <c r="L367">
        <v>20220803093230</v>
      </c>
      <c r="M367" s="1" t="s">
        <v>577</v>
      </c>
      <c r="N367" s="1" t="s">
        <v>24</v>
      </c>
      <c r="O367">
        <v>8</v>
      </c>
      <c r="P367" s="3">
        <v>44776</v>
      </c>
      <c r="Q367">
        <v>31</v>
      </c>
    </row>
    <row r="368" spans="1:17" x14ac:dyDescent="0.3">
      <c r="A368" s="1" t="s">
        <v>574</v>
      </c>
      <c r="B368" s="2">
        <v>44776.397222222222</v>
      </c>
      <c r="C368" s="1" t="s">
        <v>37</v>
      </c>
      <c r="D368" s="1" t="s">
        <v>47</v>
      </c>
      <c r="E368" s="1" t="s">
        <v>48</v>
      </c>
      <c r="F368" s="1" t="s">
        <v>77</v>
      </c>
      <c r="G368" s="1" t="s">
        <v>77</v>
      </c>
      <c r="H368" s="1" t="s">
        <v>77</v>
      </c>
      <c r="I368" s="1" t="s">
        <v>77</v>
      </c>
      <c r="J368" s="1" t="s">
        <v>77</v>
      </c>
      <c r="K368" s="1" t="s">
        <v>77</v>
      </c>
      <c r="L368">
        <v>20220803093238</v>
      </c>
      <c r="M368" s="1" t="s">
        <v>578</v>
      </c>
      <c r="N368" s="1" t="s">
        <v>24</v>
      </c>
      <c r="O368">
        <v>8</v>
      </c>
      <c r="P368" s="3">
        <v>44776</v>
      </c>
      <c r="Q368">
        <v>31</v>
      </c>
    </row>
    <row r="369" spans="1:17" x14ac:dyDescent="0.3">
      <c r="A369" s="1" t="s">
        <v>574</v>
      </c>
      <c r="B369" s="2">
        <v>44776.397222222222</v>
      </c>
      <c r="C369" s="1" t="s">
        <v>37</v>
      </c>
      <c r="D369" s="1" t="s">
        <v>47</v>
      </c>
      <c r="E369" s="1" t="s">
        <v>51</v>
      </c>
      <c r="F369" s="1" t="s">
        <v>77</v>
      </c>
      <c r="G369" s="1" t="s">
        <v>77</v>
      </c>
      <c r="H369" s="1" t="s">
        <v>77</v>
      </c>
      <c r="I369" s="1" t="s">
        <v>77</v>
      </c>
      <c r="J369" s="1" t="s">
        <v>77</v>
      </c>
      <c r="K369" s="1" t="s">
        <v>77</v>
      </c>
      <c r="L369">
        <v>20220803093249</v>
      </c>
      <c r="M369" s="1" t="s">
        <v>579</v>
      </c>
      <c r="N369" s="1" t="s">
        <v>24</v>
      </c>
      <c r="O369">
        <v>8</v>
      </c>
      <c r="P369" s="3">
        <v>44776</v>
      </c>
      <c r="Q369">
        <v>31</v>
      </c>
    </row>
    <row r="370" spans="1:17" x14ac:dyDescent="0.3">
      <c r="A370" s="1" t="s">
        <v>574</v>
      </c>
      <c r="B370" s="2">
        <v>44776.397916666669</v>
      </c>
      <c r="C370" s="1" t="s">
        <v>37</v>
      </c>
      <c r="D370" s="1" t="s">
        <v>47</v>
      </c>
      <c r="E370" s="1" t="s">
        <v>536</v>
      </c>
      <c r="F370" s="1" t="s">
        <v>77</v>
      </c>
      <c r="G370" s="1" t="s">
        <v>77</v>
      </c>
      <c r="H370" s="1" t="s">
        <v>77</v>
      </c>
      <c r="I370" s="1" t="s">
        <v>77</v>
      </c>
      <c r="J370" s="1" t="s">
        <v>77</v>
      </c>
      <c r="K370" s="1" t="s">
        <v>77</v>
      </c>
      <c r="L370">
        <v>20220803093258</v>
      </c>
      <c r="M370" s="1" t="s">
        <v>580</v>
      </c>
      <c r="N370" s="1" t="s">
        <v>24</v>
      </c>
      <c r="O370">
        <v>8</v>
      </c>
      <c r="P370" s="3">
        <v>44776</v>
      </c>
      <c r="Q370">
        <v>31</v>
      </c>
    </row>
    <row r="371" spans="1:17" x14ac:dyDescent="0.3">
      <c r="A371" s="1" t="s">
        <v>581</v>
      </c>
      <c r="B371" s="2">
        <v>44776.397916666669</v>
      </c>
      <c r="C371" s="1" t="s">
        <v>37</v>
      </c>
      <c r="D371" s="1" t="s">
        <v>44</v>
      </c>
      <c r="E371" s="1" t="s">
        <v>45</v>
      </c>
      <c r="F371" s="1" t="s">
        <v>77</v>
      </c>
      <c r="G371" s="1" t="s">
        <v>77</v>
      </c>
      <c r="H371" s="1" t="s">
        <v>77</v>
      </c>
      <c r="I371" s="1" t="s">
        <v>77</v>
      </c>
      <c r="J371" s="1" t="s">
        <v>77</v>
      </c>
      <c r="K371" s="1" t="s">
        <v>77</v>
      </c>
      <c r="L371">
        <v>20220803093308</v>
      </c>
      <c r="M371" s="1" t="s">
        <v>582</v>
      </c>
      <c r="N371" s="1" t="s">
        <v>24</v>
      </c>
      <c r="O371">
        <v>8</v>
      </c>
      <c r="P371" s="3">
        <v>44776</v>
      </c>
      <c r="Q371">
        <v>31</v>
      </c>
    </row>
    <row r="372" spans="1:17" x14ac:dyDescent="0.3">
      <c r="A372" s="1" t="s">
        <v>581</v>
      </c>
      <c r="B372" s="2">
        <v>44776.397916666669</v>
      </c>
      <c r="C372" s="1" t="s">
        <v>37</v>
      </c>
      <c r="D372" s="1" t="s">
        <v>41</v>
      </c>
      <c r="E372" s="1" t="s">
        <v>42</v>
      </c>
      <c r="F372" s="1" t="s">
        <v>77</v>
      </c>
      <c r="G372" s="1" t="s">
        <v>77</v>
      </c>
      <c r="H372" s="1" t="s">
        <v>77</v>
      </c>
      <c r="I372" s="1" t="s">
        <v>77</v>
      </c>
      <c r="J372" s="1" t="s">
        <v>77</v>
      </c>
      <c r="K372" s="1" t="s">
        <v>77</v>
      </c>
      <c r="L372">
        <v>20220803093317</v>
      </c>
      <c r="M372" s="1" t="s">
        <v>583</v>
      </c>
      <c r="N372" s="1" t="s">
        <v>24</v>
      </c>
      <c r="O372">
        <v>8</v>
      </c>
      <c r="P372" s="3">
        <v>44776</v>
      </c>
      <c r="Q372">
        <v>31</v>
      </c>
    </row>
    <row r="373" spans="1:17" x14ac:dyDescent="0.3">
      <c r="A373" s="1" t="s">
        <v>581</v>
      </c>
      <c r="B373" s="2">
        <v>44776.397916666669</v>
      </c>
      <c r="C373" s="1" t="s">
        <v>168</v>
      </c>
      <c r="D373" s="1" t="s">
        <v>38</v>
      </c>
      <c r="E373" s="1" t="s">
        <v>77</v>
      </c>
      <c r="F373" s="1" t="s">
        <v>39</v>
      </c>
      <c r="G373" s="1" t="s">
        <v>485</v>
      </c>
      <c r="H373" s="1" t="s">
        <v>77</v>
      </c>
      <c r="I373" s="1" t="s">
        <v>77</v>
      </c>
      <c r="J373" s="1" t="s">
        <v>77</v>
      </c>
      <c r="K373" s="1" t="s">
        <v>77</v>
      </c>
      <c r="L373">
        <v>20220803093329</v>
      </c>
      <c r="M373" s="1" t="s">
        <v>584</v>
      </c>
      <c r="N373" s="1" t="s">
        <v>24</v>
      </c>
      <c r="O373">
        <v>8</v>
      </c>
      <c r="P373" s="3">
        <v>44776</v>
      </c>
      <c r="Q373">
        <v>31</v>
      </c>
    </row>
    <row r="374" spans="1:17" x14ac:dyDescent="0.3">
      <c r="A374" s="1" t="s">
        <v>581</v>
      </c>
      <c r="B374" s="2">
        <v>44776.398611111108</v>
      </c>
      <c r="C374" s="1" t="s">
        <v>18</v>
      </c>
      <c r="D374" s="1" t="s">
        <v>29</v>
      </c>
      <c r="E374" s="1" t="s">
        <v>77</v>
      </c>
      <c r="F374" s="1" t="s">
        <v>77</v>
      </c>
      <c r="G374" s="1" t="s">
        <v>77</v>
      </c>
      <c r="H374" s="1" t="s">
        <v>77</v>
      </c>
      <c r="I374" s="1" t="s">
        <v>77</v>
      </c>
      <c r="J374" s="1" t="s">
        <v>30</v>
      </c>
      <c r="K374" s="1" t="s">
        <v>175</v>
      </c>
      <c r="L374">
        <v>20220803093358</v>
      </c>
      <c r="M374" s="1" t="s">
        <v>585</v>
      </c>
      <c r="N374" s="1" t="s">
        <v>24</v>
      </c>
      <c r="O374">
        <v>8</v>
      </c>
      <c r="P374" s="3">
        <v>44776</v>
      </c>
      <c r="Q374">
        <v>31</v>
      </c>
    </row>
    <row r="375" spans="1:17" x14ac:dyDescent="0.3">
      <c r="A375" s="1" t="s">
        <v>586</v>
      </c>
      <c r="B375" s="2">
        <v>44776.398611111108</v>
      </c>
      <c r="C375" s="1" t="s">
        <v>18</v>
      </c>
      <c r="D375" s="1" t="s">
        <v>195</v>
      </c>
      <c r="E375" s="1" t="s">
        <v>77</v>
      </c>
      <c r="F375" s="1" t="s">
        <v>77</v>
      </c>
      <c r="G375" s="1" t="s">
        <v>77</v>
      </c>
      <c r="H375" s="1" t="s">
        <v>77</v>
      </c>
      <c r="I375" s="1" t="s">
        <v>77</v>
      </c>
      <c r="J375" s="1" t="s">
        <v>21</v>
      </c>
      <c r="K375" s="1" t="s">
        <v>331</v>
      </c>
      <c r="L375">
        <v>20220803093420</v>
      </c>
      <c r="M375" s="1" t="s">
        <v>587</v>
      </c>
      <c r="N375" s="1" t="s">
        <v>24</v>
      </c>
      <c r="O375">
        <v>8</v>
      </c>
      <c r="P375" s="3">
        <v>44776</v>
      </c>
      <c r="Q375">
        <v>31</v>
      </c>
    </row>
    <row r="376" spans="1:17" x14ac:dyDescent="0.3">
      <c r="A376" s="1" t="s">
        <v>586</v>
      </c>
      <c r="B376" s="2">
        <v>44776.399305555555</v>
      </c>
      <c r="C376" s="1" t="s">
        <v>37</v>
      </c>
      <c r="D376" s="1" t="s">
        <v>26</v>
      </c>
      <c r="E376" s="1" t="s">
        <v>27</v>
      </c>
      <c r="F376" s="1" t="s">
        <v>77</v>
      </c>
      <c r="G376" s="1" t="s">
        <v>77</v>
      </c>
      <c r="H376" s="1" t="s">
        <v>77</v>
      </c>
      <c r="I376" s="1" t="s">
        <v>77</v>
      </c>
      <c r="J376" s="1" t="s">
        <v>20</v>
      </c>
      <c r="K376" s="1" t="s">
        <v>20</v>
      </c>
      <c r="L376">
        <v>20220803093457</v>
      </c>
      <c r="M376" s="1" t="s">
        <v>588</v>
      </c>
      <c r="N376" s="1" t="s">
        <v>24</v>
      </c>
      <c r="O376">
        <v>8</v>
      </c>
      <c r="P376" s="3">
        <v>44776</v>
      </c>
      <c r="Q376">
        <v>31</v>
      </c>
    </row>
    <row r="377" spans="1:17" x14ac:dyDescent="0.3">
      <c r="A377" s="1" t="s">
        <v>589</v>
      </c>
      <c r="B377" s="2">
        <v>44776.399305555555</v>
      </c>
      <c r="C377" s="1" t="s">
        <v>37</v>
      </c>
      <c r="D377" s="1" t="s">
        <v>53</v>
      </c>
      <c r="E377" s="1" t="s">
        <v>56</v>
      </c>
      <c r="F377" s="1" t="s">
        <v>77</v>
      </c>
      <c r="G377" s="1" t="s">
        <v>77</v>
      </c>
      <c r="H377" s="1" t="s">
        <v>77</v>
      </c>
      <c r="I377" s="1" t="s">
        <v>77</v>
      </c>
      <c r="J377" s="1" t="s">
        <v>77</v>
      </c>
      <c r="K377" s="1" t="s">
        <v>77</v>
      </c>
      <c r="L377">
        <v>20220803093519</v>
      </c>
      <c r="M377" s="1" t="s">
        <v>590</v>
      </c>
      <c r="N377" s="1" t="s">
        <v>24</v>
      </c>
      <c r="O377">
        <v>8</v>
      </c>
      <c r="P377" s="3">
        <v>44776</v>
      </c>
      <c r="Q377">
        <v>31</v>
      </c>
    </row>
    <row r="378" spans="1:17" x14ac:dyDescent="0.3">
      <c r="A378" s="1" t="s">
        <v>591</v>
      </c>
      <c r="B378" s="2">
        <v>44777.417361111111</v>
      </c>
      <c r="C378" s="1" t="s">
        <v>37</v>
      </c>
      <c r="D378" s="1" t="s">
        <v>19</v>
      </c>
      <c r="E378" s="1" t="s">
        <v>58</v>
      </c>
      <c r="F378" s="1" t="s">
        <v>77</v>
      </c>
      <c r="G378" s="1" t="s">
        <v>77</v>
      </c>
      <c r="H378" s="1" t="s">
        <v>77</v>
      </c>
      <c r="I378" s="1" t="s">
        <v>77</v>
      </c>
      <c r="J378" s="1" t="s">
        <v>77</v>
      </c>
      <c r="K378" s="1" t="s">
        <v>77</v>
      </c>
      <c r="L378">
        <v>20220804100056</v>
      </c>
      <c r="M378" s="1" t="s">
        <v>592</v>
      </c>
      <c r="N378" s="1" t="s">
        <v>65</v>
      </c>
      <c r="O378">
        <v>8</v>
      </c>
      <c r="P378" s="3">
        <v>44777</v>
      </c>
      <c r="Q378">
        <v>31</v>
      </c>
    </row>
    <row r="379" spans="1:17" x14ac:dyDescent="0.3">
      <c r="A379" s="1" t="s">
        <v>593</v>
      </c>
      <c r="B379" s="2">
        <v>44777.417361111111</v>
      </c>
      <c r="C379" s="1" t="s">
        <v>37</v>
      </c>
      <c r="D379" s="1" t="s">
        <v>47</v>
      </c>
      <c r="E379" s="1" t="s">
        <v>48</v>
      </c>
      <c r="F379" s="1" t="s">
        <v>77</v>
      </c>
      <c r="G379" s="1" t="s">
        <v>77</v>
      </c>
      <c r="H379" s="1" t="s">
        <v>77</v>
      </c>
      <c r="I379" s="1" t="s">
        <v>77</v>
      </c>
      <c r="J379" s="1" t="s">
        <v>77</v>
      </c>
      <c r="K379" s="1" t="s">
        <v>77</v>
      </c>
      <c r="L379">
        <v>20220804100106</v>
      </c>
      <c r="M379" s="1" t="s">
        <v>594</v>
      </c>
      <c r="N379" s="1" t="s">
        <v>65</v>
      </c>
      <c r="O379">
        <v>8</v>
      </c>
      <c r="P379" s="3">
        <v>44777</v>
      </c>
      <c r="Q379">
        <v>31</v>
      </c>
    </row>
    <row r="380" spans="1:17" x14ac:dyDescent="0.3">
      <c r="A380" s="1" t="s">
        <v>593</v>
      </c>
      <c r="B380" s="2">
        <v>44777.417361111111</v>
      </c>
      <c r="C380" s="1" t="s">
        <v>37</v>
      </c>
      <c r="D380" s="1" t="s">
        <v>47</v>
      </c>
      <c r="E380" s="1" t="s">
        <v>51</v>
      </c>
      <c r="F380" s="1" t="s">
        <v>77</v>
      </c>
      <c r="G380" s="1" t="s">
        <v>77</v>
      </c>
      <c r="H380" s="1" t="s">
        <v>77</v>
      </c>
      <c r="I380" s="1" t="s">
        <v>77</v>
      </c>
      <c r="J380" s="1" t="s">
        <v>77</v>
      </c>
      <c r="K380" s="1" t="s">
        <v>77</v>
      </c>
      <c r="L380">
        <v>20220804100116</v>
      </c>
      <c r="M380" s="1" t="s">
        <v>595</v>
      </c>
      <c r="N380" s="1" t="s">
        <v>65</v>
      </c>
      <c r="O380">
        <v>8</v>
      </c>
      <c r="P380" s="3">
        <v>44777</v>
      </c>
      <c r="Q380">
        <v>31</v>
      </c>
    </row>
    <row r="381" spans="1:17" x14ac:dyDescent="0.3">
      <c r="A381" s="1" t="s">
        <v>593</v>
      </c>
      <c r="B381" s="2">
        <v>44777.417361111111</v>
      </c>
      <c r="C381" s="1" t="s">
        <v>37</v>
      </c>
      <c r="D381" s="1" t="s">
        <v>47</v>
      </c>
      <c r="E381" s="1" t="s">
        <v>536</v>
      </c>
      <c r="F381" s="1" t="s">
        <v>77</v>
      </c>
      <c r="G381" s="1" t="s">
        <v>77</v>
      </c>
      <c r="H381" s="1" t="s">
        <v>77</v>
      </c>
      <c r="I381" s="1" t="s">
        <v>77</v>
      </c>
      <c r="J381" s="1" t="s">
        <v>77</v>
      </c>
      <c r="K381" s="1" t="s">
        <v>77</v>
      </c>
      <c r="L381">
        <v>20220804100124</v>
      </c>
      <c r="M381" s="1" t="s">
        <v>596</v>
      </c>
      <c r="N381" s="1" t="s">
        <v>65</v>
      </c>
      <c r="O381">
        <v>8</v>
      </c>
      <c r="P381" s="3">
        <v>44777</v>
      </c>
      <c r="Q381">
        <v>31</v>
      </c>
    </row>
    <row r="382" spans="1:17" x14ac:dyDescent="0.3">
      <c r="A382" s="1" t="s">
        <v>593</v>
      </c>
      <c r="B382" s="2">
        <v>44777.417361111111</v>
      </c>
      <c r="C382" s="1" t="s">
        <v>37</v>
      </c>
      <c r="D382" s="1" t="s">
        <v>41</v>
      </c>
      <c r="E382" s="1" t="s">
        <v>42</v>
      </c>
      <c r="F382" s="1" t="s">
        <v>77</v>
      </c>
      <c r="G382" s="1" t="s">
        <v>77</v>
      </c>
      <c r="H382" s="1" t="s">
        <v>77</v>
      </c>
      <c r="I382" s="1" t="s">
        <v>77</v>
      </c>
      <c r="J382" s="1" t="s">
        <v>77</v>
      </c>
      <c r="K382" s="1" t="s">
        <v>77</v>
      </c>
      <c r="L382">
        <v>20220804100133</v>
      </c>
      <c r="M382" s="1" t="s">
        <v>597</v>
      </c>
      <c r="N382" s="1" t="s">
        <v>65</v>
      </c>
      <c r="O382">
        <v>8</v>
      </c>
      <c r="P382" s="3">
        <v>44777</v>
      </c>
      <c r="Q382">
        <v>31</v>
      </c>
    </row>
    <row r="383" spans="1:17" x14ac:dyDescent="0.3">
      <c r="A383" s="1" t="s">
        <v>593</v>
      </c>
      <c r="B383" s="2">
        <v>44777.417361111111</v>
      </c>
      <c r="C383" s="1" t="s">
        <v>37</v>
      </c>
      <c r="D383" s="1" t="s">
        <v>53</v>
      </c>
      <c r="E383" s="1" t="s">
        <v>54</v>
      </c>
      <c r="F383" s="1" t="s">
        <v>77</v>
      </c>
      <c r="G383" s="1" t="s">
        <v>77</v>
      </c>
      <c r="H383" s="1" t="s">
        <v>77</v>
      </c>
      <c r="I383" s="1" t="s">
        <v>77</v>
      </c>
      <c r="J383" s="1" t="s">
        <v>77</v>
      </c>
      <c r="K383" s="1" t="s">
        <v>77</v>
      </c>
      <c r="L383">
        <v>20220804100144</v>
      </c>
      <c r="M383" s="1" t="s">
        <v>598</v>
      </c>
      <c r="N383" s="1" t="s">
        <v>65</v>
      </c>
      <c r="O383">
        <v>8</v>
      </c>
      <c r="P383" s="3">
        <v>44777</v>
      </c>
      <c r="Q383">
        <v>31</v>
      </c>
    </row>
    <row r="384" spans="1:17" x14ac:dyDescent="0.3">
      <c r="A384" s="1" t="s">
        <v>593</v>
      </c>
      <c r="B384" s="2">
        <v>44777.418055555558</v>
      </c>
      <c r="C384" s="1" t="s">
        <v>37</v>
      </c>
      <c r="D384" s="1" t="s">
        <v>44</v>
      </c>
      <c r="E384" s="1" t="s">
        <v>45</v>
      </c>
      <c r="F384" s="1" t="s">
        <v>77</v>
      </c>
      <c r="G384" s="1" t="s">
        <v>77</v>
      </c>
      <c r="H384" s="1" t="s">
        <v>77</v>
      </c>
      <c r="I384" s="1" t="s">
        <v>77</v>
      </c>
      <c r="J384" s="1" t="s">
        <v>20</v>
      </c>
      <c r="K384" s="1" t="s">
        <v>20</v>
      </c>
      <c r="L384">
        <v>20220804100151</v>
      </c>
      <c r="M384" s="1" t="s">
        <v>599</v>
      </c>
      <c r="N384" s="1" t="s">
        <v>65</v>
      </c>
      <c r="O384">
        <v>8</v>
      </c>
      <c r="P384" s="3">
        <v>44777</v>
      </c>
      <c r="Q384">
        <v>31</v>
      </c>
    </row>
    <row r="385" spans="1:17" x14ac:dyDescent="0.3">
      <c r="A385" s="1" t="s">
        <v>600</v>
      </c>
      <c r="B385" s="2">
        <v>44777.418055555558</v>
      </c>
      <c r="C385" s="1" t="s">
        <v>434</v>
      </c>
      <c r="D385" s="1" t="s">
        <v>60</v>
      </c>
      <c r="E385" s="1" t="s">
        <v>77</v>
      </c>
      <c r="F385" s="1" t="s">
        <v>77</v>
      </c>
      <c r="G385" s="1" t="s">
        <v>77</v>
      </c>
      <c r="H385" s="1" t="s">
        <v>61</v>
      </c>
      <c r="I385" s="1" t="s">
        <v>435</v>
      </c>
      <c r="J385" s="1" t="s">
        <v>77</v>
      </c>
      <c r="K385" s="1" t="s">
        <v>77</v>
      </c>
      <c r="L385">
        <v>20220804100209</v>
      </c>
      <c r="M385" s="1" t="s">
        <v>601</v>
      </c>
      <c r="N385" s="1" t="s">
        <v>65</v>
      </c>
      <c r="O385">
        <v>8</v>
      </c>
      <c r="P385" s="3">
        <v>44777</v>
      </c>
      <c r="Q385">
        <v>31</v>
      </c>
    </row>
    <row r="386" spans="1:17" x14ac:dyDescent="0.3">
      <c r="A386" s="1" t="s">
        <v>600</v>
      </c>
      <c r="B386" s="2">
        <v>44777.418055555558</v>
      </c>
      <c r="C386" s="1" t="s">
        <v>168</v>
      </c>
      <c r="D386" s="1" t="s">
        <v>38</v>
      </c>
      <c r="E386" s="1" t="s">
        <v>77</v>
      </c>
      <c r="F386" s="1" t="s">
        <v>39</v>
      </c>
      <c r="G386" s="1" t="s">
        <v>485</v>
      </c>
      <c r="H386" s="1" t="s">
        <v>77</v>
      </c>
      <c r="I386" s="1" t="s">
        <v>77</v>
      </c>
      <c r="J386" s="1" t="s">
        <v>77</v>
      </c>
      <c r="K386" s="1" t="s">
        <v>77</v>
      </c>
      <c r="L386">
        <v>20220804100220</v>
      </c>
      <c r="M386" s="1" t="s">
        <v>602</v>
      </c>
      <c r="N386" s="1" t="s">
        <v>65</v>
      </c>
      <c r="O386">
        <v>8</v>
      </c>
      <c r="P386" s="3">
        <v>44777</v>
      </c>
      <c r="Q386">
        <v>31</v>
      </c>
    </row>
    <row r="387" spans="1:17" x14ac:dyDescent="0.3">
      <c r="A387" s="1" t="s">
        <v>600</v>
      </c>
      <c r="B387" s="2">
        <v>44777.418055555558</v>
      </c>
      <c r="C387" s="1" t="s">
        <v>18</v>
      </c>
      <c r="D387" s="1" t="s">
        <v>29</v>
      </c>
      <c r="E387" s="1" t="s">
        <v>77</v>
      </c>
      <c r="F387" s="1" t="s">
        <v>77</v>
      </c>
      <c r="G387" s="1" t="s">
        <v>77</v>
      </c>
      <c r="H387" s="1" t="s">
        <v>77</v>
      </c>
      <c r="I387" s="1" t="s">
        <v>77</v>
      </c>
      <c r="J387" s="1" t="s">
        <v>30</v>
      </c>
      <c r="K387" s="1" t="s">
        <v>603</v>
      </c>
      <c r="L387">
        <v>20220804100231</v>
      </c>
      <c r="M387" s="1" t="s">
        <v>604</v>
      </c>
      <c r="N387" s="1" t="s">
        <v>65</v>
      </c>
      <c r="O387">
        <v>8</v>
      </c>
      <c r="P387" s="3">
        <v>44777</v>
      </c>
      <c r="Q387">
        <v>31</v>
      </c>
    </row>
    <row r="388" spans="1:17" x14ac:dyDescent="0.3">
      <c r="A388" s="1" t="s">
        <v>600</v>
      </c>
      <c r="B388" s="2">
        <v>44777.418055555558</v>
      </c>
      <c r="C388" s="1" t="s">
        <v>18</v>
      </c>
      <c r="D388" s="1" t="s">
        <v>29</v>
      </c>
      <c r="E388" s="1" t="s">
        <v>77</v>
      </c>
      <c r="F388" s="1" t="s">
        <v>77</v>
      </c>
      <c r="G388" s="1" t="s">
        <v>77</v>
      </c>
      <c r="H388" s="1" t="s">
        <v>77</v>
      </c>
      <c r="I388" s="1" t="s">
        <v>77</v>
      </c>
      <c r="J388" s="1" t="s">
        <v>554</v>
      </c>
      <c r="K388" s="1" t="s">
        <v>603</v>
      </c>
      <c r="L388">
        <v>20220804100251</v>
      </c>
      <c r="M388" s="1" t="s">
        <v>605</v>
      </c>
      <c r="N388" s="1" t="s">
        <v>65</v>
      </c>
      <c r="O388">
        <v>8</v>
      </c>
      <c r="P388" s="3">
        <v>44777</v>
      </c>
      <c r="Q388">
        <v>31</v>
      </c>
    </row>
    <row r="389" spans="1:17" x14ac:dyDescent="0.3">
      <c r="A389" s="1" t="s">
        <v>606</v>
      </c>
      <c r="B389" s="2">
        <v>44777.418749999997</v>
      </c>
      <c r="C389" s="1" t="s">
        <v>37</v>
      </c>
      <c r="D389" s="1" t="s">
        <v>26</v>
      </c>
      <c r="E389" s="1" t="s">
        <v>27</v>
      </c>
      <c r="F389" s="1" t="s">
        <v>77</v>
      </c>
      <c r="G389" s="1" t="s">
        <v>77</v>
      </c>
      <c r="H389" s="1" t="s">
        <v>77</v>
      </c>
      <c r="I389" s="1" t="s">
        <v>77</v>
      </c>
      <c r="J389" s="1" t="s">
        <v>20</v>
      </c>
      <c r="K389" s="1" t="s">
        <v>20</v>
      </c>
      <c r="L389">
        <v>20220804100303</v>
      </c>
      <c r="M389" s="1" t="s">
        <v>607</v>
      </c>
      <c r="N389" s="1" t="s">
        <v>65</v>
      </c>
      <c r="O389">
        <v>8</v>
      </c>
      <c r="P389" s="3">
        <v>44777</v>
      </c>
      <c r="Q389">
        <v>31</v>
      </c>
    </row>
    <row r="390" spans="1:17" x14ac:dyDescent="0.3">
      <c r="A390" s="1" t="s">
        <v>606</v>
      </c>
      <c r="B390" s="2">
        <v>44777.418749999997</v>
      </c>
      <c r="C390" s="1" t="s">
        <v>18</v>
      </c>
      <c r="D390" s="1" t="s">
        <v>195</v>
      </c>
      <c r="E390" s="1" t="s">
        <v>77</v>
      </c>
      <c r="F390" s="1" t="s">
        <v>77</v>
      </c>
      <c r="G390" s="1" t="s">
        <v>77</v>
      </c>
      <c r="H390" s="1" t="s">
        <v>77</v>
      </c>
      <c r="I390" s="1" t="s">
        <v>77</v>
      </c>
      <c r="J390" s="1" t="s">
        <v>21</v>
      </c>
      <c r="K390" s="1" t="s">
        <v>331</v>
      </c>
      <c r="L390">
        <v>20220804100312</v>
      </c>
      <c r="M390" s="1" t="s">
        <v>608</v>
      </c>
      <c r="N390" s="1" t="s">
        <v>65</v>
      </c>
      <c r="O390">
        <v>8</v>
      </c>
      <c r="P390" s="3">
        <v>44777</v>
      </c>
      <c r="Q390">
        <v>31</v>
      </c>
    </row>
    <row r="391" spans="1:17" x14ac:dyDescent="0.3">
      <c r="A391" s="1" t="s">
        <v>609</v>
      </c>
      <c r="B391" s="2">
        <v>44777.420138888891</v>
      </c>
      <c r="C391" s="1" t="s">
        <v>18</v>
      </c>
      <c r="D391" s="1" t="s">
        <v>53</v>
      </c>
      <c r="E391" s="1" t="s">
        <v>20</v>
      </c>
      <c r="F391" s="1" t="s">
        <v>77</v>
      </c>
      <c r="G391" s="1" t="s">
        <v>77</v>
      </c>
      <c r="H391" s="1" t="s">
        <v>77</v>
      </c>
      <c r="I391" s="1" t="s">
        <v>77</v>
      </c>
      <c r="J391" s="1" t="s">
        <v>56</v>
      </c>
      <c r="K391" s="1" t="s">
        <v>197</v>
      </c>
      <c r="L391">
        <v>20220804100507</v>
      </c>
      <c r="M391" s="1" t="s">
        <v>610</v>
      </c>
      <c r="N391" s="1" t="s">
        <v>65</v>
      </c>
      <c r="O391">
        <v>8</v>
      </c>
      <c r="P391" s="3">
        <v>44777</v>
      </c>
      <c r="Q391">
        <v>31</v>
      </c>
    </row>
    <row r="392" spans="1:17" x14ac:dyDescent="0.3">
      <c r="A392" s="1" t="s">
        <v>611</v>
      </c>
      <c r="B392" s="2">
        <v>44778.400000000001</v>
      </c>
      <c r="C392" s="1" t="s">
        <v>37</v>
      </c>
      <c r="D392" s="1" t="s">
        <v>26</v>
      </c>
      <c r="E392" s="1" t="s">
        <v>27</v>
      </c>
      <c r="F392" s="1" t="s">
        <v>77</v>
      </c>
      <c r="G392" s="1" t="s">
        <v>77</v>
      </c>
      <c r="H392" s="1" t="s">
        <v>77</v>
      </c>
      <c r="I392" s="1" t="s">
        <v>77</v>
      </c>
      <c r="J392" s="1" t="s">
        <v>77</v>
      </c>
      <c r="K392" s="1" t="s">
        <v>77</v>
      </c>
      <c r="L392">
        <v>20220805093612</v>
      </c>
      <c r="M392" s="1" t="s">
        <v>612</v>
      </c>
      <c r="N392" s="1" t="s">
        <v>84</v>
      </c>
      <c r="O392">
        <v>8</v>
      </c>
      <c r="P392" s="3">
        <v>44778</v>
      </c>
      <c r="Q392">
        <v>31</v>
      </c>
    </row>
    <row r="393" spans="1:17" x14ac:dyDescent="0.3">
      <c r="A393" s="1" t="s">
        <v>613</v>
      </c>
      <c r="B393" s="2">
        <v>44778.413888888892</v>
      </c>
      <c r="C393" s="1" t="s">
        <v>37</v>
      </c>
      <c r="D393" s="1" t="s">
        <v>41</v>
      </c>
      <c r="E393" s="1" t="s">
        <v>42</v>
      </c>
      <c r="F393" s="1" t="s">
        <v>77</v>
      </c>
      <c r="G393" s="1" t="s">
        <v>77</v>
      </c>
      <c r="H393" s="1" t="s">
        <v>77</v>
      </c>
      <c r="I393" s="1" t="s">
        <v>77</v>
      </c>
      <c r="J393" s="1" t="s">
        <v>77</v>
      </c>
      <c r="K393" s="1" t="s">
        <v>77</v>
      </c>
      <c r="L393">
        <v>20220805095651</v>
      </c>
      <c r="M393" s="1" t="s">
        <v>614</v>
      </c>
      <c r="N393" s="1" t="s">
        <v>84</v>
      </c>
      <c r="O393">
        <v>8</v>
      </c>
      <c r="P393" s="3">
        <v>44778</v>
      </c>
      <c r="Q393">
        <v>31</v>
      </c>
    </row>
    <row r="394" spans="1:17" x14ac:dyDescent="0.3">
      <c r="A394" s="1" t="s">
        <v>615</v>
      </c>
      <c r="B394" s="2">
        <v>44778.414583333331</v>
      </c>
      <c r="C394" s="1" t="s">
        <v>37</v>
      </c>
      <c r="D394" s="1" t="s">
        <v>44</v>
      </c>
      <c r="E394" s="1" t="s">
        <v>45</v>
      </c>
      <c r="F394" s="1" t="s">
        <v>77</v>
      </c>
      <c r="G394" s="1" t="s">
        <v>77</v>
      </c>
      <c r="H394" s="1" t="s">
        <v>77</v>
      </c>
      <c r="I394" s="1" t="s">
        <v>77</v>
      </c>
      <c r="J394" s="1" t="s">
        <v>77</v>
      </c>
      <c r="K394" s="1" t="s">
        <v>77</v>
      </c>
      <c r="L394">
        <v>20220805095702</v>
      </c>
      <c r="M394" s="1" t="s">
        <v>616</v>
      </c>
      <c r="N394" s="1" t="s">
        <v>84</v>
      </c>
      <c r="O394">
        <v>8</v>
      </c>
      <c r="P394" s="3">
        <v>44778</v>
      </c>
      <c r="Q394">
        <v>31</v>
      </c>
    </row>
    <row r="395" spans="1:17" x14ac:dyDescent="0.3">
      <c r="A395" s="1" t="s">
        <v>615</v>
      </c>
      <c r="B395" s="2">
        <v>44778.414583333331</v>
      </c>
      <c r="C395" s="1" t="s">
        <v>37</v>
      </c>
      <c r="D395" s="1" t="s">
        <v>47</v>
      </c>
      <c r="E395" s="1" t="s">
        <v>51</v>
      </c>
      <c r="F395" s="1" t="s">
        <v>77</v>
      </c>
      <c r="G395" s="1" t="s">
        <v>77</v>
      </c>
      <c r="H395" s="1" t="s">
        <v>77</v>
      </c>
      <c r="I395" s="1" t="s">
        <v>77</v>
      </c>
      <c r="J395" s="1" t="s">
        <v>77</v>
      </c>
      <c r="K395" s="1" t="s">
        <v>77</v>
      </c>
      <c r="L395">
        <v>20220805095710</v>
      </c>
      <c r="M395" s="1" t="s">
        <v>617</v>
      </c>
      <c r="N395" s="1" t="s">
        <v>84</v>
      </c>
      <c r="O395">
        <v>8</v>
      </c>
      <c r="P395" s="3">
        <v>44778</v>
      </c>
      <c r="Q395">
        <v>31</v>
      </c>
    </row>
    <row r="396" spans="1:17" x14ac:dyDescent="0.3">
      <c r="A396" s="1" t="s">
        <v>615</v>
      </c>
      <c r="B396" s="2">
        <v>44778.414583333331</v>
      </c>
      <c r="C396" s="1" t="s">
        <v>37</v>
      </c>
      <c r="D396" s="1" t="s">
        <v>47</v>
      </c>
      <c r="E396" s="1" t="s">
        <v>536</v>
      </c>
      <c r="F396" s="1" t="s">
        <v>77</v>
      </c>
      <c r="G396" s="1" t="s">
        <v>77</v>
      </c>
      <c r="H396" s="1" t="s">
        <v>77</v>
      </c>
      <c r="I396" s="1" t="s">
        <v>77</v>
      </c>
      <c r="J396" s="1" t="s">
        <v>77</v>
      </c>
      <c r="K396" s="1" t="s">
        <v>77</v>
      </c>
      <c r="L396">
        <v>20220805095722</v>
      </c>
      <c r="M396" s="1" t="s">
        <v>618</v>
      </c>
      <c r="N396" s="1" t="s">
        <v>84</v>
      </c>
      <c r="O396">
        <v>8</v>
      </c>
      <c r="P396" s="3">
        <v>44778</v>
      </c>
      <c r="Q396">
        <v>31</v>
      </c>
    </row>
    <row r="397" spans="1:17" x14ac:dyDescent="0.3">
      <c r="A397" s="1" t="s">
        <v>615</v>
      </c>
      <c r="B397" s="2">
        <v>44778.414583333331</v>
      </c>
      <c r="C397" s="1" t="s">
        <v>37</v>
      </c>
      <c r="D397" s="1" t="s">
        <v>53</v>
      </c>
      <c r="E397" s="1" t="s">
        <v>54</v>
      </c>
      <c r="F397" s="1" t="s">
        <v>77</v>
      </c>
      <c r="G397" s="1" t="s">
        <v>77</v>
      </c>
      <c r="H397" s="1" t="s">
        <v>77</v>
      </c>
      <c r="I397" s="1" t="s">
        <v>77</v>
      </c>
      <c r="J397" s="1" t="s">
        <v>77</v>
      </c>
      <c r="K397" s="1" t="s">
        <v>77</v>
      </c>
      <c r="L397">
        <v>20220805095731</v>
      </c>
      <c r="M397" s="1" t="s">
        <v>619</v>
      </c>
      <c r="N397" s="1" t="s">
        <v>84</v>
      </c>
      <c r="O397">
        <v>8</v>
      </c>
      <c r="P397" s="3">
        <v>44778</v>
      </c>
      <c r="Q397">
        <v>31</v>
      </c>
    </row>
    <row r="398" spans="1:17" x14ac:dyDescent="0.3">
      <c r="A398" s="1" t="s">
        <v>615</v>
      </c>
      <c r="B398" s="2">
        <v>44778.414583333331</v>
      </c>
      <c r="C398" s="1" t="s">
        <v>37</v>
      </c>
      <c r="D398" s="1" t="s">
        <v>19</v>
      </c>
      <c r="E398" s="1" t="s">
        <v>58</v>
      </c>
      <c r="F398" s="1" t="s">
        <v>77</v>
      </c>
      <c r="G398" s="1" t="s">
        <v>77</v>
      </c>
      <c r="H398" s="1" t="s">
        <v>77</v>
      </c>
      <c r="I398" s="1" t="s">
        <v>77</v>
      </c>
      <c r="J398" s="1" t="s">
        <v>77</v>
      </c>
      <c r="K398" s="1" t="s">
        <v>77</v>
      </c>
      <c r="L398">
        <v>20220805095741</v>
      </c>
      <c r="M398" s="1" t="s">
        <v>620</v>
      </c>
      <c r="N398" s="1" t="s">
        <v>84</v>
      </c>
      <c r="O398">
        <v>8</v>
      </c>
      <c r="P398" s="3">
        <v>44778</v>
      </c>
      <c r="Q398">
        <v>31</v>
      </c>
    </row>
    <row r="399" spans="1:17" x14ac:dyDescent="0.3">
      <c r="A399" s="1" t="s">
        <v>615</v>
      </c>
      <c r="B399" s="2">
        <v>44778.414583333331</v>
      </c>
      <c r="C399" s="1" t="s">
        <v>37</v>
      </c>
      <c r="D399" s="1" t="s">
        <v>29</v>
      </c>
      <c r="E399" s="1" t="s">
        <v>30</v>
      </c>
      <c r="F399" s="1" t="s">
        <v>77</v>
      </c>
      <c r="G399" s="1" t="s">
        <v>77</v>
      </c>
      <c r="H399" s="1" t="s">
        <v>77</v>
      </c>
      <c r="I399" s="1" t="s">
        <v>77</v>
      </c>
      <c r="J399" s="1" t="s">
        <v>77</v>
      </c>
      <c r="K399" s="1" t="s">
        <v>77</v>
      </c>
      <c r="L399">
        <v>20220805095750</v>
      </c>
      <c r="M399" s="1" t="s">
        <v>621</v>
      </c>
      <c r="N399" s="1" t="s">
        <v>84</v>
      </c>
      <c r="O399">
        <v>8</v>
      </c>
      <c r="P399" s="3">
        <v>44778</v>
      </c>
      <c r="Q399">
        <v>31</v>
      </c>
    </row>
    <row r="400" spans="1:17" x14ac:dyDescent="0.3">
      <c r="A400" s="1" t="s">
        <v>622</v>
      </c>
      <c r="B400" s="2">
        <v>44778.415277777778</v>
      </c>
      <c r="C400" s="1" t="s">
        <v>37</v>
      </c>
      <c r="D400" s="1" t="s">
        <v>47</v>
      </c>
      <c r="E400" s="1" t="s">
        <v>48</v>
      </c>
      <c r="F400" s="1" t="s">
        <v>77</v>
      </c>
      <c r="G400" s="1" t="s">
        <v>77</v>
      </c>
      <c r="H400" s="1" t="s">
        <v>77</v>
      </c>
      <c r="I400" s="1" t="s">
        <v>77</v>
      </c>
      <c r="J400" s="1" t="s">
        <v>77</v>
      </c>
      <c r="K400" s="1" t="s">
        <v>77</v>
      </c>
      <c r="L400">
        <v>20220805095802</v>
      </c>
      <c r="M400" s="1" t="s">
        <v>623</v>
      </c>
      <c r="N400" s="1" t="s">
        <v>84</v>
      </c>
      <c r="O400">
        <v>8</v>
      </c>
      <c r="P400" s="3">
        <v>44778</v>
      </c>
      <c r="Q400">
        <v>31</v>
      </c>
    </row>
    <row r="401" spans="1:17" x14ac:dyDescent="0.3">
      <c r="A401" s="1" t="s">
        <v>622</v>
      </c>
      <c r="B401" s="2">
        <v>44778.415277777778</v>
      </c>
      <c r="C401" s="1" t="s">
        <v>168</v>
      </c>
      <c r="D401" s="1" t="s">
        <v>38</v>
      </c>
      <c r="E401" s="1" t="s">
        <v>77</v>
      </c>
      <c r="F401" s="1" t="s">
        <v>39</v>
      </c>
      <c r="G401" s="1" t="s">
        <v>485</v>
      </c>
      <c r="H401" s="1" t="s">
        <v>77</v>
      </c>
      <c r="I401" s="1" t="s">
        <v>77</v>
      </c>
      <c r="J401" s="1" t="s">
        <v>77</v>
      </c>
      <c r="K401" s="1" t="s">
        <v>77</v>
      </c>
      <c r="L401">
        <v>20220805095812</v>
      </c>
      <c r="M401" s="1" t="s">
        <v>624</v>
      </c>
      <c r="N401" s="1" t="s">
        <v>84</v>
      </c>
      <c r="O401">
        <v>8</v>
      </c>
      <c r="P401" s="3">
        <v>44778</v>
      </c>
      <c r="Q401">
        <v>31</v>
      </c>
    </row>
    <row r="402" spans="1:17" x14ac:dyDescent="0.3">
      <c r="A402" s="1" t="s">
        <v>622</v>
      </c>
      <c r="B402" s="2">
        <v>44778.415277777778</v>
      </c>
      <c r="C402" s="1" t="s">
        <v>434</v>
      </c>
      <c r="D402" s="1" t="s">
        <v>60</v>
      </c>
      <c r="E402" s="1" t="s">
        <v>77</v>
      </c>
      <c r="F402" s="1" t="s">
        <v>77</v>
      </c>
      <c r="G402" s="1" t="s">
        <v>77</v>
      </c>
      <c r="H402" s="1" t="s">
        <v>61</v>
      </c>
      <c r="I402" s="1" t="s">
        <v>435</v>
      </c>
      <c r="J402" s="1" t="s">
        <v>77</v>
      </c>
      <c r="K402" s="1" t="s">
        <v>77</v>
      </c>
      <c r="L402">
        <v>20220805095828</v>
      </c>
      <c r="M402" s="1" t="s">
        <v>625</v>
      </c>
      <c r="N402" s="1" t="s">
        <v>84</v>
      </c>
      <c r="O402">
        <v>8</v>
      </c>
      <c r="P402" s="3">
        <v>44778</v>
      </c>
      <c r="Q402">
        <v>31</v>
      </c>
    </row>
    <row r="403" spans="1:17" x14ac:dyDescent="0.3">
      <c r="A403" s="1" t="s">
        <v>622</v>
      </c>
      <c r="B403" s="2">
        <v>44778.415972222225</v>
      </c>
      <c r="C403" s="1" t="s">
        <v>18</v>
      </c>
      <c r="D403" s="1" t="s">
        <v>195</v>
      </c>
      <c r="E403" s="1" t="s">
        <v>77</v>
      </c>
      <c r="F403" s="1" t="s">
        <v>77</v>
      </c>
      <c r="G403" s="1" t="s">
        <v>77</v>
      </c>
      <c r="H403" s="1" t="s">
        <v>77</v>
      </c>
      <c r="I403" s="1" t="s">
        <v>77</v>
      </c>
      <c r="J403" s="1" t="s">
        <v>21</v>
      </c>
      <c r="K403" s="1" t="s">
        <v>331</v>
      </c>
      <c r="L403">
        <v>20220805095849</v>
      </c>
      <c r="M403" s="1" t="s">
        <v>626</v>
      </c>
      <c r="N403" s="1" t="s">
        <v>84</v>
      </c>
      <c r="O403">
        <v>8</v>
      </c>
      <c r="P403" s="3">
        <v>44778</v>
      </c>
      <c r="Q403">
        <v>31</v>
      </c>
    </row>
    <row r="404" spans="1:17" x14ac:dyDescent="0.3">
      <c r="A404" s="1" t="s">
        <v>627</v>
      </c>
      <c r="B404" s="2">
        <v>44778.415972222225</v>
      </c>
      <c r="C404" s="1" t="s">
        <v>18</v>
      </c>
      <c r="D404" s="1" t="s">
        <v>29</v>
      </c>
      <c r="E404" s="1" t="s">
        <v>77</v>
      </c>
      <c r="F404" s="1" t="s">
        <v>77</v>
      </c>
      <c r="G404" s="1" t="s">
        <v>77</v>
      </c>
      <c r="H404" s="1" t="s">
        <v>77</v>
      </c>
      <c r="I404" s="1" t="s">
        <v>77</v>
      </c>
      <c r="J404" s="1" t="s">
        <v>554</v>
      </c>
      <c r="K404" s="1" t="s">
        <v>628</v>
      </c>
      <c r="L404">
        <v>20220805095912</v>
      </c>
      <c r="M404" s="1" t="s">
        <v>629</v>
      </c>
      <c r="N404" s="1" t="s">
        <v>84</v>
      </c>
      <c r="O404">
        <v>8</v>
      </c>
      <c r="P404" s="3">
        <v>44778</v>
      </c>
      <c r="Q404">
        <v>31</v>
      </c>
    </row>
    <row r="405" spans="1:17" x14ac:dyDescent="0.3">
      <c r="A405" s="1" t="s">
        <v>627</v>
      </c>
      <c r="B405" s="2">
        <v>44778.416666666664</v>
      </c>
      <c r="C405" s="1" t="s">
        <v>37</v>
      </c>
      <c r="D405" s="1" t="s">
        <v>53</v>
      </c>
      <c r="E405" s="1" t="s">
        <v>56</v>
      </c>
      <c r="F405" s="1" t="s">
        <v>77</v>
      </c>
      <c r="G405" s="1" t="s">
        <v>77</v>
      </c>
      <c r="H405" s="1" t="s">
        <v>77</v>
      </c>
      <c r="I405" s="1" t="s">
        <v>77</v>
      </c>
      <c r="J405" s="1" t="s">
        <v>20</v>
      </c>
      <c r="K405" s="1" t="s">
        <v>20</v>
      </c>
      <c r="L405">
        <v>20220805095956</v>
      </c>
      <c r="M405" s="1" t="s">
        <v>630</v>
      </c>
      <c r="N405" s="1" t="s">
        <v>84</v>
      </c>
      <c r="O405">
        <v>8</v>
      </c>
      <c r="P405" s="3">
        <v>44778</v>
      </c>
      <c r="Q405">
        <v>31</v>
      </c>
    </row>
    <row r="406" spans="1:17" x14ac:dyDescent="0.3">
      <c r="A406" s="1" t="s">
        <v>631</v>
      </c>
      <c r="B406" s="2">
        <v>44779.402083333334</v>
      </c>
      <c r="C406" s="1" t="s">
        <v>37</v>
      </c>
      <c r="D406" s="1" t="s">
        <v>47</v>
      </c>
      <c r="E406" s="1" t="s">
        <v>51</v>
      </c>
      <c r="F406" s="1" t="s">
        <v>77</v>
      </c>
      <c r="G406" s="1" t="s">
        <v>77</v>
      </c>
      <c r="H406" s="1" t="s">
        <v>77</v>
      </c>
      <c r="I406" s="1" t="s">
        <v>77</v>
      </c>
      <c r="J406" s="1" t="s">
        <v>77</v>
      </c>
      <c r="K406" s="1" t="s">
        <v>77</v>
      </c>
      <c r="L406">
        <v>20220806093942</v>
      </c>
      <c r="M406" s="1" t="s">
        <v>632</v>
      </c>
      <c r="N406" s="1" t="s">
        <v>101</v>
      </c>
      <c r="O406">
        <v>8</v>
      </c>
      <c r="P406" s="3">
        <v>44779</v>
      </c>
      <c r="Q406">
        <v>31</v>
      </c>
    </row>
    <row r="407" spans="1:17" x14ac:dyDescent="0.3">
      <c r="A407" s="1" t="s">
        <v>631</v>
      </c>
      <c r="B407" s="2">
        <v>44779.402777777781</v>
      </c>
      <c r="C407" s="1" t="s">
        <v>37</v>
      </c>
      <c r="D407" s="1" t="s">
        <v>53</v>
      </c>
      <c r="E407" s="1" t="s">
        <v>54</v>
      </c>
      <c r="F407" s="1" t="s">
        <v>77</v>
      </c>
      <c r="G407" s="1" t="s">
        <v>77</v>
      </c>
      <c r="H407" s="1" t="s">
        <v>77</v>
      </c>
      <c r="I407" s="1" t="s">
        <v>77</v>
      </c>
      <c r="J407" s="1" t="s">
        <v>77</v>
      </c>
      <c r="K407" s="1" t="s">
        <v>77</v>
      </c>
      <c r="L407">
        <v>20220806093954</v>
      </c>
      <c r="M407" s="1" t="s">
        <v>633</v>
      </c>
      <c r="N407" s="1" t="s">
        <v>101</v>
      </c>
      <c r="O407">
        <v>8</v>
      </c>
      <c r="P407" s="3">
        <v>44779</v>
      </c>
      <c r="Q407">
        <v>31</v>
      </c>
    </row>
    <row r="408" spans="1:17" x14ac:dyDescent="0.3">
      <c r="A408" s="1" t="s">
        <v>634</v>
      </c>
      <c r="B408" s="2">
        <v>44779.45</v>
      </c>
      <c r="C408" s="1" t="s">
        <v>37</v>
      </c>
      <c r="D408" s="1" t="s">
        <v>47</v>
      </c>
      <c r="E408" s="1" t="s">
        <v>536</v>
      </c>
      <c r="F408" s="1" t="s">
        <v>77</v>
      </c>
      <c r="G408" s="1" t="s">
        <v>77</v>
      </c>
      <c r="H408" s="1" t="s">
        <v>77</v>
      </c>
      <c r="I408" s="1" t="s">
        <v>77</v>
      </c>
      <c r="J408" s="1" t="s">
        <v>77</v>
      </c>
      <c r="K408" s="1" t="s">
        <v>77</v>
      </c>
      <c r="L408">
        <v>20220806104800</v>
      </c>
      <c r="M408" s="1" t="s">
        <v>635</v>
      </c>
      <c r="N408" s="1" t="s">
        <v>101</v>
      </c>
      <c r="O408">
        <v>8</v>
      </c>
      <c r="P408" s="3">
        <v>44779</v>
      </c>
      <c r="Q408">
        <v>31</v>
      </c>
    </row>
    <row r="409" spans="1:17" x14ac:dyDescent="0.3">
      <c r="A409" s="1" t="s">
        <v>634</v>
      </c>
      <c r="B409" s="2">
        <v>44779.45</v>
      </c>
      <c r="C409" s="1" t="s">
        <v>168</v>
      </c>
      <c r="D409" s="1" t="s">
        <v>38</v>
      </c>
      <c r="E409" s="1" t="s">
        <v>77</v>
      </c>
      <c r="F409" s="1" t="s">
        <v>39</v>
      </c>
      <c r="G409" s="1" t="s">
        <v>485</v>
      </c>
      <c r="H409" s="1" t="s">
        <v>77</v>
      </c>
      <c r="I409" s="1" t="s">
        <v>77</v>
      </c>
      <c r="J409" s="1" t="s">
        <v>77</v>
      </c>
      <c r="K409" s="1" t="s">
        <v>77</v>
      </c>
      <c r="L409">
        <v>20220806104812</v>
      </c>
      <c r="M409" s="1" t="s">
        <v>636</v>
      </c>
      <c r="N409" s="1" t="s">
        <v>101</v>
      </c>
      <c r="O409">
        <v>8</v>
      </c>
      <c r="P409" s="3">
        <v>44779</v>
      </c>
      <c r="Q409">
        <v>31</v>
      </c>
    </row>
    <row r="410" spans="1:17" x14ac:dyDescent="0.3">
      <c r="A410" s="1" t="s">
        <v>634</v>
      </c>
      <c r="B410" s="2">
        <v>44779.45</v>
      </c>
      <c r="C410" s="1" t="s">
        <v>18</v>
      </c>
      <c r="D410" s="1" t="s">
        <v>29</v>
      </c>
      <c r="E410" s="1" t="s">
        <v>77</v>
      </c>
      <c r="F410" s="1" t="s">
        <v>77</v>
      </c>
      <c r="G410" s="1" t="s">
        <v>77</v>
      </c>
      <c r="H410" s="1" t="s">
        <v>77</v>
      </c>
      <c r="I410" s="1" t="s">
        <v>77</v>
      </c>
      <c r="J410" s="1" t="s">
        <v>30</v>
      </c>
      <c r="K410" s="1" t="s">
        <v>415</v>
      </c>
      <c r="L410">
        <v>20220806104829</v>
      </c>
      <c r="M410" s="1" t="s">
        <v>637</v>
      </c>
      <c r="N410" s="1" t="s">
        <v>101</v>
      </c>
      <c r="O410">
        <v>8</v>
      </c>
      <c r="P410" s="3">
        <v>44779</v>
      </c>
      <c r="Q410">
        <v>31</v>
      </c>
    </row>
    <row r="411" spans="1:17" x14ac:dyDescent="0.3">
      <c r="A411" s="1" t="s">
        <v>634</v>
      </c>
      <c r="B411" s="2">
        <v>44779.450694444444</v>
      </c>
      <c r="C411" s="1" t="s">
        <v>18</v>
      </c>
      <c r="D411" s="1" t="s">
        <v>29</v>
      </c>
      <c r="E411" s="1" t="s">
        <v>77</v>
      </c>
      <c r="F411" s="1" t="s">
        <v>77</v>
      </c>
      <c r="G411" s="1" t="s">
        <v>77</v>
      </c>
      <c r="H411" s="1" t="s">
        <v>77</v>
      </c>
      <c r="I411" s="1" t="s">
        <v>77</v>
      </c>
      <c r="J411" s="1" t="s">
        <v>554</v>
      </c>
      <c r="K411" s="1" t="s">
        <v>415</v>
      </c>
      <c r="L411">
        <v>20220806104848</v>
      </c>
      <c r="M411" s="1" t="s">
        <v>638</v>
      </c>
      <c r="N411" s="1" t="s">
        <v>101</v>
      </c>
      <c r="O411">
        <v>8</v>
      </c>
      <c r="P411" s="3">
        <v>44779</v>
      </c>
      <c r="Q411">
        <v>31</v>
      </c>
    </row>
    <row r="412" spans="1:17" x14ac:dyDescent="0.3">
      <c r="A412" s="1" t="s">
        <v>639</v>
      </c>
      <c r="B412" s="2">
        <v>44779.451388888891</v>
      </c>
      <c r="C412" s="1" t="s">
        <v>434</v>
      </c>
      <c r="D412" s="1" t="s">
        <v>60</v>
      </c>
      <c r="E412" s="1" t="s">
        <v>77</v>
      </c>
      <c r="F412" s="1" t="s">
        <v>77</v>
      </c>
      <c r="G412" s="1" t="s">
        <v>77</v>
      </c>
      <c r="H412" s="1" t="s">
        <v>61</v>
      </c>
      <c r="I412" s="1" t="s">
        <v>435</v>
      </c>
      <c r="J412" s="1" t="s">
        <v>77</v>
      </c>
      <c r="K412" s="1" t="s">
        <v>77</v>
      </c>
      <c r="L412">
        <v>20220806104922</v>
      </c>
      <c r="M412" s="1" t="s">
        <v>640</v>
      </c>
      <c r="N412" s="1" t="s">
        <v>101</v>
      </c>
      <c r="O412">
        <v>8</v>
      </c>
      <c r="P412" s="3">
        <v>44779</v>
      </c>
      <c r="Q412">
        <v>31</v>
      </c>
    </row>
    <row r="413" spans="1:17" x14ac:dyDescent="0.3">
      <c r="A413" s="1" t="s">
        <v>641</v>
      </c>
      <c r="B413" s="2">
        <v>44779.451388888891</v>
      </c>
      <c r="C413" s="1" t="s">
        <v>18</v>
      </c>
      <c r="D413" s="1" t="s">
        <v>26</v>
      </c>
      <c r="E413" s="1" t="s">
        <v>77</v>
      </c>
      <c r="F413" s="1" t="s">
        <v>77</v>
      </c>
      <c r="G413" s="1" t="s">
        <v>77</v>
      </c>
      <c r="H413" s="1" t="s">
        <v>77</v>
      </c>
      <c r="I413" s="1" t="s">
        <v>77</v>
      </c>
      <c r="J413" s="1" t="s">
        <v>27</v>
      </c>
      <c r="K413" s="1" t="s">
        <v>642</v>
      </c>
      <c r="L413">
        <v>20220806105049</v>
      </c>
      <c r="M413" s="1" t="s">
        <v>643</v>
      </c>
      <c r="N413" s="1" t="s">
        <v>101</v>
      </c>
      <c r="O413">
        <v>8</v>
      </c>
      <c r="P413" s="3">
        <v>44779</v>
      </c>
      <c r="Q413">
        <v>31</v>
      </c>
    </row>
    <row r="414" spans="1:17" x14ac:dyDescent="0.3">
      <c r="A414" s="1" t="s">
        <v>644</v>
      </c>
      <c r="B414" s="2">
        <v>44779.45208333333</v>
      </c>
      <c r="C414" s="1" t="s">
        <v>18</v>
      </c>
      <c r="D414" s="1" t="s">
        <v>195</v>
      </c>
      <c r="E414" s="1" t="s">
        <v>77</v>
      </c>
      <c r="F414" s="1" t="s">
        <v>77</v>
      </c>
      <c r="G414" s="1" t="s">
        <v>77</v>
      </c>
      <c r="H414" s="1" t="s">
        <v>77</v>
      </c>
      <c r="I414" s="1" t="s">
        <v>77</v>
      </c>
      <c r="J414" s="1" t="s">
        <v>21</v>
      </c>
      <c r="K414" s="1" t="s">
        <v>645</v>
      </c>
      <c r="L414">
        <v>20220806105100</v>
      </c>
      <c r="M414" s="1" t="s">
        <v>646</v>
      </c>
      <c r="N414" s="1" t="s">
        <v>101</v>
      </c>
      <c r="O414">
        <v>8</v>
      </c>
      <c r="P414" s="3">
        <v>44779</v>
      </c>
      <c r="Q414">
        <v>31</v>
      </c>
    </row>
    <row r="415" spans="1:17" x14ac:dyDescent="0.3">
      <c r="A415" s="1" t="s">
        <v>644</v>
      </c>
      <c r="B415" s="2">
        <v>44779.45208333333</v>
      </c>
      <c r="C415" s="1" t="s">
        <v>18</v>
      </c>
      <c r="D415" s="1" t="s">
        <v>41</v>
      </c>
      <c r="E415" s="1" t="s">
        <v>77</v>
      </c>
      <c r="F415" s="1" t="s">
        <v>77</v>
      </c>
      <c r="G415" s="1" t="s">
        <v>77</v>
      </c>
      <c r="H415" s="1" t="s">
        <v>77</v>
      </c>
      <c r="I415" s="1" t="s">
        <v>77</v>
      </c>
      <c r="J415" s="1" t="s">
        <v>42</v>
      </c>
      <c r="K415" s="1" t="s">
        <v>642</v>
      </c>
      <c r="L415">
        <v>20220806105115</v>
      </c>
      <c r="M415" s="1" t="s">
        <v>647</v>
      </c>
      <c r="N415" s="1" t="s">
        <v>101</v>
      </c>
      <c r="O415">
        <v>8</v>
      </c>
      <c r="P415" s="3">
        <v>44779</v>
      </c>
      <c r="Q415">
        <v>31</v>
      </c>
    </row>
    <row r="416" spans="1:17" x14ac:dyDescent="0.3">
      <c r="A416" s="1" t="s">
        <v>644</v>
      </c>
      <c r="B416" s="2">
        <v>44779.45208333333</v>
      </c>
      <c r="C416" s="1" t="s">
        <v>18</v>
      </c>
      <c r="D416" s="1" t="s">
        <v>44</v>
      </c>
      <c r="E416" s="1" t="s">
        <v>77</v>
      </c>
      <c r="F416" s="1" t="s">
        <v>77</v>
      </c>
      <c r="G416" s="1" t="s">
        <v>77</v>
      </c>
      <c r="H416" s="1" t="s">
        <v>77</v>
      </c>
      <c r="I416" s="1" t="s">
        <v>77</v>
      </c>
      <c r="J416" s="1" t="s">
        <v>45</v>
      </c>
      <c r="K416" s="1" t="s">
        <v>642</v>
      </c>
      <c r="L416">
        <v>20220806105131</v>
      </c>
      <c r="M416" s="1" t="s">
        <v>648</v>
      </c>
      <c r="N416" s="1" t="s">
        <v>101</v>
      </c>
      <c r="O416">
        <v>8</v>
      </c>
      <c r="P416" s="3">
        <v>44779</v>
      </c>
      <c r="Q416">
        <v>31</v>
      </c>
    </row>
    <row r="417" spans="1:17" x14ac:dyDescent="0.3">
      <c r="A417" s="1" t="s">
        <v>649</v>
      </c>
      <c r="B417" s="2">
        <v>44779.452777777777</v>
      </c>
      <c r="C417" s="1" t="s">
        <v>18</v>
      </c>
      <c r="D417" s="1" t="s">
        <v>47</v>
      </c>
      <c r="E417" s="1" t="s">
        <v>77</v>
      </c>
      <c r="F417" s="1" t="s">
        <v>77</v>
      </c>
      <c r="G417" s="1" t="s">
        <v>77</v>
      </c>
      <c r="H417" s="1" t="s">
        <v>77</v>
      </c>
      <c r="I417" s="1" t="s">
        <v>77</v>
      </c>
      <c r="J417" s="1" t="s">
        <v>48</v>
      </c>
      <c r="K417" s="1" t="s">
        <v>642</v>
      </c>
      <c r="L417">
        <v>20220806105227</v>
      </c>
      <c r="M417" s="1" t="s">
        <v>650</v>
      </c>
      <c r="N417" s="1" t="s">
        <v>101</v>
      </c>
      <c r="O417">
        <v>8</v>
      </c>
      <c r="P417" s="3">
        <v>44779</v>
      </c>
      <c r="Q417">
        <v>31</v>
      </c>
    </row>
    <row r="418" spans="1:17" x14ac:dyDescent="0.3">
      <c r="A418" s="1" t="s">
        <v>649</v>
      </c>
      <c r="B418" s="2">
        <v>44779.453472222223</v>
      </c>
      <c r="C418" s="1" t="s">
        <v>18</v>
      </c>
      <c r="D418" s="1" t="s">
        <v>53</v>
      </c>
      <c r="E418" s="1" t="s">
        <v>77</v>
      </c>
      <c r="F418" s="1" t="s">
        <v>77</v>
      </c>
      <c r="G418" s="1" t="s">
        <v>77</v>
      </c>
      <c r="H418" s="1" t="s">
        <v>77</v>
      </c>
      <c r="I418" s="1" t="s">
        <v>77</v>
      </c>
      <c r="J418" s="1" t="s">
        <v>56</v>
      </c>
      <c r="K418" s="1" t="s">
        <v>642</v>
      </c>
      <c r="L418">
        <v>20220806105251</v>
      </c>
      <c r="M418" s="1" t="s">
        <v>651</v>
      </c>
      <c r="N418" s="1" t="s">
        <v>101</v>
      </c>
      <c r="O418">
        <v>8</v>
      </c>
      <c r="P418" s="3">
        <v>44779</v>
      </c>
      <c r="Q418">
        <v>31</v>
      </c>
    </row>
    <row r="419" spans="1:17" x14ac:dyDescent="0.3">
      <c r="A419" s="1" t="s">
        <v>652</v>
      </c>
      <c r="B419" s="2">
        <v>44779.453472222223</v>
      </c>
      <c r="C419" s="1" t="s">
        <v>18</v>
      </c>
      <c r="D419" s="1" t="s">
        <v>19</v>
      </c>
      <c r="E419" s="1" t="s">
        <v>77</v>
      </c>
      <c r="F419" s="1" t="s">
        <v>77</v>
      </c>
      <c r="G419" s="1" t="s">
        <v>77</v>
      </c>
      <c r="H419" s="1" t="s">
        <v>77</v>
      </c>
      <c r="I419" s="1" t="s">
        <v>77</v>
      </c>
      <c r="J419" s="1" t="s">
        <v>58</v>
      </c>
      <c r="K419" s="1" t="s">
        <v>309</v>
      </c>
      <c r="L419">
        <v>20220806105306</v>
      </c>
      <c r="M419" s="1" t="s">
        <v>653</v>
      </c>
      <c r="N419" s="1" t="s">
        <v>101</v>
      </c>
      <c r="O419">
        <v>8</v>
      </c>
      <c r="P419" s="3">
        <v>44779</v>
      </c>
      <c r="Q419">
        <v>31</v>
      </c>
    </row>
    <row r="420" spans="1:17" x14ac:dyDescent="0.3">
      <c r="A420" s="1" t="s">
        <v>654</v>
      </c>
      <c r="B420" s="2">
        <v>44781.388888888891</v>
      </c>
      <c r="C420" s="1" t="s">
        <v>37</v>
      </c>
      <c r="D420" s="1" t="s">
        <v>29</v>
      </c>
      <c r="E420" s="1" t="s">
        <v>30</v>
      </c>
      <c r="F420" s="1" t="s">
        <v>77</v>
      </c>
      <c r="G420" s="1" t="s">
        <v>77</v>
      </c>
      <c r="H420" s="1" t="s">
        <v>77</v>
      </c>
      <c r="I420" s="1" t="s">
        <v>77</v>
      </c>
      <c r="J420" s="1" t="s">
        <v>77</v>
      </c>
      <c r="K420" s="1" t="s">
        <v>77</v>
      </c>
      <c r="L420">
        <v>20220808092018</v>
      </c>
      <c r="M420" s="1" t="s">
        <v>655</v>
      </c>
      <c r="N420" s="1" t="s">
        <v>120</v>
      </c>
      <c r="O420">
        <v>8</v>
      </c>
      <c r="P420" s="3">
        <v>44781</v>
      </c>
      <c r="Q420">
        <v>32</v>
      </c>
    </row>
    <row r="421" spans="1:17" x14ac:dyDescent="0.3">
      <c r="A421" s="1" t="s">
        <v>654</v>
      </c>
      <c r="B421" s="2">
        <v>44781.388888888891</v>
      </c>
      <c r="C421" s="1" t="s">
        <v>37</v>
      </c>
      <c r="D421" s="1" t="s">
        <v>19</v>
      </c>
      <c r="E421" s="1" t="s">
        <v>58</v>
      </c>
      <c r="F421" s="1" t="s">
        <v>77</v>
      </c>
      <c r="G421" s="1" t="s">
        <v>77</v>
      </c>
      <c r="H421" s="1" t="s">
        <v>77</v>
      </c>
      <c r="I421" s="1" t="s">
        <v>77</v>
      </c>
      <c r="J421" s="1" t="s">
        <v>77</v>
      </c>
      <c r="K421" s="1" t="s">
        <v>77</v>
      </c>
      <c r="L421">
        <v>20220808092033</v>
      </c>
      <c r="M421" s="1" t="s">
        <v>656</v>
      </c>
      <c r="N421" s="1" t="s">
        <v>120</v>
      </c>
      <c r="O421">
        <v>8</v>
      </c>
      <c r="P421" s="3">
        <v>44781</v>
      </c>
      <c r="Q421">
        <v>32</v>
      </c>
    </row>
    <row r="422" spans="1:17" x14ac:dyDescent="0.3">
      <c r="A422" s="1" t="s">
        <v>654</v>
      </c>
      <c r="B422" s="2">
        <v>44781.388888888891</v>
      </c>
      <c r="C422" s="1" t="s">
        <v>37</v>
      </c>
      <c r="D422" s="1" t="s">
        <v>53</v>
      </c>
      <c r="E422" s="1" t="s">
        <v>54</v>
      </c>
      <c r="F422" s="1" t="s">
        <v>77</v>
      </c>
      <c r="G422" s="1" t="s">
        <v>77</v>
      </c>
      <c r="H422" s="1" t="s">
        <v>77</v>
      </c>
      <c r="I422" s="1" t="s">
        <v>77</v>
      </c>
      <c r="J422" s="1" t="s">
        <v>77</v>
      </c>
      <c r="K422" s="1" t="s">
        <v>77</v>
      </c>
      <c r="L422">
        <v>20220808092042</v>
      </c>
      <c r="M422" s="1" t="s">
        <v>657</v>
      </c>
      <c r="N422" s="1" t="s">
        <v>120</v>
      </c>
      <c r="O422">
        <v>8</v>
      </c>
      <c r="P422" s="3">
        <v>44781</v>
      </c>
      <c r="Q422">
        <v>32</v>
      </c>
    </row>
    <row r="423" spans="1:17" x14ac:dyDescent="0.3">
      <c r="A423" s="1" t="s">
        <v>654</v>
      </c>
      <c r="B423" s="2">
        <v>44781.388888888891</v>
      </c>
      <c r="C423" s="1" t="s">
        <v>37</v>
      </c>
      <c r="D423" s="1" t="s">
        <v>47</v>
      </c>
      <c r="E423" s="1" t="s">
        <v>51</v>
      </c>
      <c r="F423" s="1" t="s">
        <v>77</v>
      </c>
      <c r="G423" s="1" t="s">
        <v>77</v>
      </c>
      <c r="H423" s="1" t="s">
        <v>77</v>
      </c>
      <c r="I423" s="1" t="s">
        <v>77</v>
      </c>
      <c r="J423" s="1" t="s">
        <v>77</v>
      </c>
      <c r="K423" s="1" t="s">
        <v>77</v>
      </c>
      <c r="L423">
        <v>20220808092051</v>
      </c>
      <c r="M423" s="1" t="s">
        <v>658</v>
      </c>
      <c r="N423" s="1" t="s">
        <v>120</v>
      </c>
      <c r="O423">
        <v>8</v>
      </c>
      <c r="P423" s="3">
        <v>44781</v>
      </c>
      <c r="Q423">
        <v>32</v>
      </c>
    </row>
    <row r="424" spans="1:17" x14ac:dyDescent="0.3">
      <c r="A424" s="1" t="s">
        <v>659</v>
      </c>
      <c r="B424" s="2">
        <v>44781.38958333333</v>
      </c>
      <c r="C424" s="1" t="s">
        <v>37</v>
      </c>
      <c r="D424" s="1" t="s">
        <v>47</v>
      </c>
      <c r="E424" s="1" t="s">
        <v>536</v>
      </c>
      <c r="F424" s="1" t="s">
        <v>77</v>
      </c>
      <c r="G424" s="1" t="s">
        <v>77</v>
      </c>
      <c r="H424" s="1" t="s">
        <v>77</v>
      </c>
      <c r="I424" s="1" t="s">
        <v>77</v>
      </c>
      <c r="J424" s="1" t="s">
        <v>77</v>
      </c>
      <c r="K424" s="1" t="s">
        <v>77</v>
      </c>
      <c r="L424">
        <v>20220808092102</v>
      </c>
      <c r="M424" s="1" t="s">
        <v>660</v>
      </c>
      <c r="N424" s="1" t="s">
        <v>120</v>
      </c>
      <c r="O424">
        <v>8</v>
      </c>
      <c r="P424" s="3">
        <v>44781</v>
      </c>
      <c r="Q424">
        <v>32</v>
      </c>
    </row>
    <row r="425" spans="1:17" x14ac:dyDescent="0.3">
      <c r="A425" s="1" t="s">
        <v>659</v>
      </c>
      <c r="B425" s="2">
        <v>44781.38958333333</v>
      </c>
      <c r="C425" s="1" t="s">
        <v>18</v>
      </c>
      <c r="D425" s="1" t="s">
        <v>47</v>
      </c>
      <c r="E425" s="1" t="s">
        <v>20</v>
      </c>
      <c r="F425" s="1" t="s">
        <v>77</v>
      </c>
      <c r="G425" s="1" t="s">
        <v>77</v>
      </c>
      <c r="H425" s="1" t="s">
        <v>77</v>
      </c>
      <c r="I425" s="1" t="s">
        <v>77</v>
      </c>
      <c r="J425" s="1" t="s">
        <v>48</v>
      </c>
      <c r="K425" s="1" t="s">
        <v>661</v>
      </c>
      <c r="L425">
        <v>20220808092111</v>
      </c>
      <c r="M425" s="1" t="s">
        <v>662</v>
      </c>
      <c r="N425" s="1" t="s">
        <v>120</v>
      </c>
      <c r="O425">
        <v>8</v>
      </c>
      <c r="P425" s="3">
        <v>44781</v>
      </c>
      <c r="Q425">
        <v>32</v>
      </c>
    </row>
    <row r="426" spans="1:17" x14ac:dyDescent="0.3">
      <c r="A426" s="1" t="s">
        <v>659</v>
      </c>
      <c r="B426" s="2">
        <v>44781.38958333333</v>
      </c>
      <c r="C426" s="1" t="s">
        <v>37</v>
      </c>
      <c r="D426" s="1" t="s">
        <v>53</v>
      </c>
      <c r="E426" s="1" t="s">
        <v>56</v>
      </c>
      <c r="F426" s="1" t="s">
        <v>77</v>
      </c>
      <c r="G426" s="1" t="s">
        <v>77</v>
      </c>
      <c r="H426" s="1" t="s">
        <v>77</v>
      </c>
      <c r="I426" s="1" t="s">
        <v>77</v>
      </c>
      <c r="J426" s="1" t="s">
        <v>77</v>
      </c>
      <c r="K426" s="1" t="s">
        <v>77</v>
      </c>
      <c r="L426">
        <v>20220808092122</v>
      </c>
      <c r="M426" s="1" t="s">
        <v>663</v>
      </c>
      <c r="N426" s="1" t="s">
        <v>120</v>
      </c>
      <c r="O426">
        <v>8</v>
      </c>
      <c r="P426" s="3">
        <v>44781</v>
      </c>
      <c r="Q426">
        <v>32</v>
      </c>
    </row>
    <row r="427" spans="1:17" x14ac:dyDescent="0.3">
      <c r="A427" s="1" t="s">
        <v>659</v>
      </c>
      <c r="B427" s="2">
        <v>44781.38958333333</v>
      </c>
      <c r="C427" s="1" t="s">
        <v>18</v>
      </c>
      <c r="D427" s="1" t="s">
        <v>44</v>
      </c>
      <c r="E427" s="1" t="s">
        <v>20</v>
      </c>
      <c r="F427" s="1" t="s">
        <v>77</v>
      </c>
      <c r="G427" s="1" t="s">
        <v>77</v>
      </c>
      <c r="H427" s="1" t="s">
        <v>77</v>
      </c>
      <c r="I427" s="1" t="s">
        <v>77</v>
      </c>
      <c r="J427" s="1" t="s">
        <v>45</v>
      </c>
      <c r="K427" s="1" t="s">
        <v>664</v>
      </c>
      <c r="L427">
        <v>20220808092135</v>
      </c>
      <c r="M427" s="1" t="s">
        <v>665</v>
      </c>
      <c r="N427" s="1" t="s">
        <v>120</v>
      </c>
      <c r="O427">
        <v>8</v>
      </c>
      <c r="P427" s="3">
        <v>44781</v>
      </c>
      <c r="Q427">
        <v>32</v>
      </c>
    </row>
    <row r="428" spans="1:17" x14ac:dyDescent="0.3">
      <c r="A428" s="1" t="s">
        <v>659</v>
      </c>
      <c r="B428" s="2">
        <v>44781.38958333333</v>
      </c>
      <c r="C428" s="1" t="s">
        <v>18</v>
      </c>
      <c r="D428" s="1" t="s">
        <v>41</v>
      </c>
      <c r="E428" s="1" t="s">
        <v>20</v>
      </c>
      <c r="F428" s="1" t="s">
        <v>77</v>
      </c>
      <c r="G428" s="1" t="s">
        <v>77</v>
      </c>
      <c r="H428" s="1" t="s">
        <v>77</v>
      </c>
      <c r="I428" s="1" t="s">
        <v>77</v>
      </c>
      <c r="J428" s="1" t="s">
        <v>42</v>
      </c>
      <c r="K428" s="1" t="s">
        <v>664</v>
      </c>
      <c r="L428">
        <v>20220808092145</v>
      </c>
      <c r="M428" s="1" t="s">
        <v>666</v>
      </c>
      <c r="N428" s="1" t="s">
        <v>120</v>
      </c>
      <c r="O428">
        <v>8</v>
      </c>
      <c r="P428" s="3">
        <v>44781</v>
      </c>
      <c r="Q428">
        <v>32</v>
      </c>
    </row>
    <row r="429" spans="1:17" x14ac:dyDescent="0.3">
      <c r="A429" s="1" t="s">
        <v>659</v>
      </c>
      <c r="B429" s="2">
        <v>44781.390277777777</v>
      </c>
      <c r="C429" s="1" t="s">
        <v>37</v>
      </c>
      <c r="D429" s="1" t="s">
        <v>26</v>
      </c>
      <c r="E429" s="1" t="s">
        <v>27</v>
      </c>
      <c r="F429" s="1" t="s">
        <v>77</v>
      </c>
      <c r="G429" s="1" t="s">
        <v>77</v>
      </c>
      <c r="H429" s="1" t="s">
        <v>77</v>
      </c>
      <c r="I429" s="1" t="s">
        <v>77</v>
      </c>
      <c r="J429" s="1" t="s">
        <v>77</v>
      </c>
      <c r="K429" s="1" t="s">
        <v>77</v>
      </c>
      <c r="L429">
        <v>20220808092155</v>
      </c>
      <c r="M429" s="1" t="s">
        <v>667</v>
      </c>
      <c r="N429" s="1" t="s">
        <v>120</v>
      </c>
      <c r="O429">
        <v>8</v>
      </c>
      <c r="P429" s="3">
        <v>44781</v>
      </c>
      <c r="Q429">
        <v>32</v>
      </c>
    </row>
    <row r="430" spans="1:17" x14ac:dyDescent="0.3">
      <c r="A430" s="1" t="s">
        <v>668</v>
      </c>
      <c r="B430" s="2">
        <v>44781.390277777777</v>
      </c>
      <c r="C430" s="1" t="s">
        <v>18</v>
      </c>
      <c r="D430" s="1" t="s">
        <v>29</v>
      </c>
      <c r="E430" s="1" t="s">
        <v>77</v>
      </c>
      <c r="F430" s="1" t="s">
        <v>77</v>
      </c>
      <c r="G430" s="1" t="s">
        <v>77</v>
      </c>
      <c r="H430" s="1" t="s">
        <v>77</v>
      </c>
      <c r="I430" s="1" t="s">
        <v>77</v>
      </c>
      <c r="J430" s="1" t="s">
        <v>554</v>
      </c>
      <c r="K430" s="1" t="s">
        <v>171</v>
      </c>
      <c r="L430">
        <v>20220808092205</v>
      </c>
      <c r="M430" s="1" t="s">
        <v>669</v>
      </c>
      <c r="N430" s="1" t="s">
        <v>120</v>
      </c>
      <c r="O430">
        <v>8</v>
      </c>
      <c r="P430" s="3">
        <v>44781</v>
      </c>
      <c r="Q430">
        <v>32</v>
      </c>
    </row>
    <row r="431" spans="1:17" x14ac:dyDescent="0.3">
      <c r="A431" s="1" t="s">
        <v>668</v>
      </c>
      <c r="B431" s="2">
        <v>44781.390277777777</v>
      </c>
      <c r="C431" s="1" t="s">
        <v>168</v>
      </c>
      <c r="D431" s="1" t="s">
        <v>38</v>
      </c>
      <c r="E431" s="1" t="s">
        <v>77</v>
      </c>
      <c r="F431" s="1" t="s">
        <v>39</v>
      </c>
      <c r="G431" s="1" t="s">
        <v>485</v>
      </c>
      <c r="H431" s="1" t="s">
        <v>77</v>
      </c>
      <c r="I431" s="1" t="s">
        <v>77</v>
      </c>
      <c r="J431" s="1" t="s">
        <v>77</v>
      </c>
      <c r="K431" s="1" t="s">
        <v>77</v>
      </c>
      <c r="L431">
        <v>20220808092218</v>
      </c>
      <c r="M431" s="1" t="s">
        <v>670</v>
      </c>
      <c r="N431" s="1" t="s">
        <v>120</v>
      </c>
      <c r="O431">
        <v>8</v>
      </c>
      <c r="P431" s="3">
        <v>44781</v>
      </c>
      <c r="Q431">
        <v>32</v>
      </c>
    </row>
    <row r="432" spans="1:17" x14ac:dyDescent="0.3">
      <c r="A432" s="1" t="s">
        <v>668</v>
      </c>
      <c r="B432" s="2">
        <v>44781.390277777777</v>
      </c>
      <c r="C432" s="1" t="s">
        <v>434</v>
      </c>
      <c r="D432" s="1" t="s">
        <v>60</v>
      </c>
      <c r="E432" s="1" t="s">
        <v>77</v>
      </c>
      <c r="F432" s="1" t="s">
        <v>77</v>
      </c>
      <c r="G432" s="1" t="s">
        <v>77</v>
      </c>
      <c r="H432" s="1" t="s">
        <v>61</v>
      </c>
      <c r="I432" s="1" t="s">
        <v>435</v>
      </c>
      <c r="J432" s="1" t="s">
        <v>77</v>
      </c>
      <c r="K432" s="1" t="s">
        <v>77</v>
      </c>
      <c r="L432">
        <v>20220808092232</v>
      </c>
      <c r="M432" s="1" t="s">
        <v>671</v>
      </c>
      <c r="N432" s="1" t="s">
        <v>120</v>
      </c>
      <c r="O432">
        <v>8</v>
      </c>
      <c r="P432" s="3">
        <v>44781</v>
      </c>
      <c r="Q432">
        <v>32</v>
      </c>
    </row>
    <row r="433" spans="1:17" x14ac:dyDescent="0.3">
      <c r="A433" s="1" t="s">
        <v>668</v>
      </c>
      <c r="B433" s="2">
        <v>44781.390972222223</v>
      </c>
      <c r="C433" s="1" t="s">
        <v>18</v>
      </c>
      <c r="D433" s="1" t="s">
        <v>195</v>
      </c>
      <c r="E433" s="1" t="s">
        <v>77</v>
      </c>
      <c r="F433" s="1" t="s">
        <v>77</v>
      </c>
      <c r="G433" s="1" t="s">
        <v>77</v>
      </c>
      <c r="H433" s="1" t="s">
        <v>77</v>
      </c>
      <c r="I433" s="1" t="s">
        <v>77</v>
      </c>
      <c r="J433" s="1" t="s">
        <v>21</v>
      </c>
      <c r="K433" s="1" t="s">
        <v>672</v>
      </c>
      <c r="L433">
        <v>20220808092248</v>
      </c>
      <c r="M433" s="1" t="s">
        <v>673</v>
      </c>
      <c r="N433" s="1" t="s">
        <v>120</v>
      </c>
      <c r="O433">
        <v>8</v>
      </c>
      <c r="P433" s="3">
        <v>44781</v>
      </c>
      <c r="Q433">
        <v>32</v>
      </c>
    </row>
    <row r="434" spans="1:17" x14ac:dyDescent="0.3">
      <c r="A434" s="1" t="s">
        <v>674</v>
      </c>
      <c r="B434" s="2">
        <v>44782.394444444442</v>
      </c>
      <c r="C434" s="1" t="s">
        <v>37</v>
      </c>
      <c r="D434" s="1" t="s">
        <v>29</v>
      </c>
      <c r="E434" s="1" t="s">
        <v>30</v>
      </c>
      <c r="F434" s="1" t="s">
        <v>77</v>
      </c>
      <c r="G434" s="1" t="s">
        <v>77</v>
      </c>
      <c r="H434" s="1" t="s">
        <v>77</v>
      </c>
      <c r="I434" s="1" t="s">
        <v>77</v>
      </c>
      <c r="J434" s="1" t="s">
        <v>77</v>
      </c>
      <c r="K434" s="1" t="s">
        <v>77</v>
      </c>
      <c r="L434">
        <v>20220809092842</v>
      </c>
      <c r="M434" s="1" t="s">
        <v>675</v>
      </c>
      <c r="N434" s="1" t="s">
        <v>140</v>
      </c>
      <c r="O434">
        <v>8</v>
      </c>
      <c r="P434" s="3">
        <v>44782</v>
      </c>
      <c r="Q434">
        <v>32</v>
      </c>
    </row>
    <row r="435" spans="1:17" x14ac:dyDescent="0.3">
      <c r="A435" s="1" t="s">
        <v>674</v>
      </c>
      <c r="B435" s="2">
        <v>44782.395138888889</v>
      </c>
      <c r="C435" s="1" t="s">
        <v>37</v>
      </c>
      <c r="D435" s="1" t="s">
        <v>29</v>
      </c>
      <c r="E435" s="1" t="s">
        <v>554</v>
      </c>
      <c r="F435" s="1" t="s">
        <v>77</v>
      </c>
      <c r="G435" s="1" t="s">
        <v>77</v>
      </c>
      <c r="H435" s="1" t="s">
        <v>77</v>
      </c>
      <c r="I435" s="1" t="s">
        <v>77</v>
      </c>
      <c r="J435" s="1" t="s">
        <v>77</v>
      </c>
      <c r="K435" s="1" t="s">
        <v>77</v>
      </c>
      <c r="L435">
        <v>20220809092854</v>
      </c>
      <c r="M435" s="1" t="s">
        <v>676</v>
      </c>
      <c r="N435" s="1" t="s">
        <v>140</v>
      </c>
      <c r="O435">
        <v>8</v>
      </c>
      <c r="P435" s="3">
        <v>44782</v>
      </c>
      <c r="Q435">
        <v>32</v>
      </c>
    </row>
    <row r="436" spans="1:17" x14ac:dyDescent="0.3">
      <c r="A436" s="1" t="s">
        <v>677</v>
      </c>
      <c r="B436" s="2">
        <v>44782.395138888889</v>
      </c>
      <c r="C436" s="1" t="s">
        <v>37</v>
      </c>
      <c r="D436" s="1" t="s">
        <v>19</v>
      </c>
      <c r="E436" s="1" t="s">
        <v>58</v>
      </c>
      <c r="F436" s="1" t="s">
        <v>77</v>
      </c>
      <c r="G436" s="1" t="s">
        <v>77</v>
      </c>
      <c r="H436" s="1" t="s">
        <v>77</v>
      </c>
      <c r="I436" s="1" t="s">
        <v>77</v>
      </c>
      <c r="J436" s="1" t="s">
        <v>77</v>
      </c>
      <c r="K436" s="1" t="s">
        <v>77</v>
      </c>
      <c r="L436">
        <v>20220809092904</v>
      </c>
      <c r="M436" s="1" t="s">
        <v>678</v>
      </c>
      <c r="N436" s="1" t="s">
        <v>140</v>
      </c>
      <c r="O436">
        <v>8</v>
      </c>
      <c r="P436" s="3">
        <v>44782</v>
      </c>
      <c r="Q436">
        <v>32</v>
      </c>
    </row>
    <row r="437" spans="1:17" x14ac:dyDescent="0.3">
      <c r="A437" s="1" t="s">
        <v>677</v>
      </c>
      <c r="B437" s="2">
        <v>44782.395138888889</v>
      </c>
      <c r="C437" s="1" t="s">
        <v>37</v>
      </c>
      <c r="D437" s="1" t="s">
        <v>53</v>
      </c>
      <c r="E437" s="1" t="s">
        <v>54</v>
      </c>
      <c r="F437" s="1" t="s">
        <v>77</v>
      </c>
      <c r="G437" s="1" t="s">
        <v>77</v>
      </c>
      <c r="H437" s="1" t="s">
        <v>77</v>
      </c>
      <c r="I437" s="1" t="s">
        <v>77</v>
      </c>
      <c r="J437" s="1" t="s">
        <v>77</v>
      </c>
      <c r="K437" s="1" t="s">
        <v>77</v>
      </c>
      <c r="L437">
        <v>20220809092938</v>
      </c>
      <c r="M437" s="1" t="s">
        <v>679</v>
      </c>
      <c r="N437" s="1" t="s">
        <v>140</v>
      </c>
      <c r="O437">
        <v>8</v>
      </c>
      <c r="P437" s="3">
        <v>44782</v>
      </c>
      <c r="Q437">
        <v>32</v>
      </c>
    </row>
    <row r="438" spans="1:17" x14ac:dyDescent="0.3">
      <c r="A438" s="1" t="s">
        <v>677</v>
      </c>
      <c r="B438" s="2">
        <v>44782.395138888889</v>
      </c>
      <c r="C438" s="1" t="s">
        <v>37</v>
      </c>
      <c r="D438" s="1" t="s">
        <v>47</v>
      </c>
      <c r="E438" s="1" t="s">
        <v>48</v>
      </c>
      <c r="F438" s="1" t="s">
        <v>77</v>
      </c>
      <c r="G438" s="1" t="s">
        <v>77</v>
      </c>
      <c r="H438" s="1" t="s">
        <v>77</v>
      </c>
      <c r="I438" s="1" t="s">
        <v>77</v>
      </c>
      <c r="J438" s="1" t="s">
        <v>77</v>
      </c>
      <c r="K438" s="1" t="s">
        <v>77</v>
      </c>
      <c r="L438">
        <v>20220809092947</v>
      </c>
      <c r="M438" s="1" t="s">
        <v>680</v>
      </c>
      <c r="N438" s="1" t="s">
        <v>140</v>
      </c>
      <c r="O438">
        <v>8</v>
      </c>
      <c r="P438" s="3">
        <v>44782</v>
      </c>
      <c r="Q438">
        <v>32</v>
      </c>
    </row>
    <row r="439" spans="1:17" x14ac:dyDescent="0.3">
      <c r="A439" s="1" t="s">
        <v>677</v>
      </c>
      <c r="B439" s="2">
        <v>44782.395833333336</v>
      </c>
      <c r="C439" s="1" t="s">
        <v>37</v>
      </c>
      <c r="D439" s="1" t="s">
        <v>47</v>
      </c>
      <c r="E439" s="1" t="s">
        <v>51</v>
      </c>
      <c r="F439" s="1" t="s">
        <v>77</v>
      </c>
      <c r="G439" s="1" t="s">
        <v>77</v>
      </c>
      <c r="H439" s="1" t="s">
        <v>77</v>
      </c>
      <c r="I439" s="1" t="s">
        <v>77</v>
      </c>
      <c r="J439" s="1" t="s">
        <v>77</v>
      </c>
      <c r="K439" s="1" t="s">
        <v>77</v>
      </c>
      <c r="L439">
        <v>20220809092958</v>
      </c>
      <c r="M439" s="1" t="s">
        <v>681</v>
      </c>
      <c r="N439" s="1" t="s">
        <v>140</v>
      </c>
      <c r="O439">
        <v>8</v>
      </c>
      <c r="P439" s="3">
        <v>44782</v>
      </c>
      <c r="Q439">
        <v>32</v>
      </c>
    </row>
    <row r="440" spans="1:17" x14ac:dyDescent="0.3">
      <c r="A440" s="1" t="s">
        <v>682</v>
      </c>
      <c r="B440" s="2">
        <v>44782.395833333336</v>
      </c>
      <c r="C440" s="1" t="s">
        <v>37</v>
      </c>
      <c r="D440" s="1" t="s">
        <v>41</v>
      </c>
      <c r="E440" s="1" t="s">
        <v>42</v>
      </c>
      <c r="F440" s="1" t="s">
        <v>77</v>
      </c>
      <c r="G440" s="1" t="s">
        <v>77</v>
      </c>
      <c r="H440" s="1" t="s">
        <v>77</v>
      </c>
      <c r="I440" s="1" t="s">
        <v>77</v>
      </c>
      <c r="J440" s="1" t="s">
        <v>77</v>
      </c>
      <c r="K440" s="1" t="s">
        <v>77</v>
      </c>
      <c r="L440">
        <v>20220809093006</v>
      </c>
      <c r="M440" s="1" t="s">
        <v>683</v>
      </c>
      <c r="N440" s="1" t="s">
        <v>140</v>
      </c>
      <c r="O440">
        <v>8</v>
      </c>
      <c r="P440" s="3">
        <v>44782</v>
      </c>
      <c r="Q440">
        <v>32</v>
      </c>
    </row>
    <row r="441" spans="1:17" x14ac:dyDescent="0.3">
      <c r="A441" s="1" t="s">
        <v>682</v>
      </c>
      <c r="B441" s="2">
        <v>44782.395833333336</v>
      </c>
      <c r="C441" s="1" t="s">
        <v>37</v>
      </c>
      <c r="D441" s="1" t="s">
        <v>26</v>
      </c>
      <c r="E441" s="1" t="s">
        <v>27</v>
      </c>
      <c r="F441" s="1" t="s">
        <v>77</v>
      </c>
      <c r="G441" s="1" t="s">
        <v>77</v>
      </c>
      <c r="H441" s="1" t="s">
        <v>77</v>
      </c>
      <c r="I441" s="1" t="s">
        <v>77</v>
      </c>
      <c r="J441" s="1" t="s">
        <v>77</v>
      </c>
      <c r="K441" s="1" t="s">
        <v>77</v>
      </c>
      <c r="L441">
        <v>20220809093019</v>
      </c>
      <c r="M441" s="1" t="s">
        <v>684</v>
      </c>
      <c r="N441" s="1" t="s">
        <v>140</v>
      </c>
      <c r="O441">
        <v>8</v>
      </c>
      <c r="P441" s="3">
        <v>44782</v>
      </c>
      <c r="Q441">
        <v>32</v>
      </c>
    </row>
    <row r="442" spans="1:17" x14ac:dyDescent="0.3">
      <c r="A442" s="1" t="s">
        <v>682</v>
      </c>
      <c r="B442" s="2">
        <v>44782.395833333336</v>
      </c>
      <c r="C442" s="1" t="s">
        <v>168</v>
      </c>
      <c r="D442" s="1" t="s">
        <v>38</v>
      </c>
      <c r="E442" s="1" t="s">
        <v>77</v>
      </c>
      <c r="F442" s="1" t="s">
        <v>39</v>
      </c>
      <c r="G442" s="1" t="s">
        <v>485</v>
      </c>
      <c r="H442" s="1" t="s">
        <v>77</v>
      </c>
      <c r="I442" s="1" t="s">
        <v>77</v>
      </c>
      <c r="J442" s="1" t="s">
        <v>77</v>
      </c>
      <c r="K442" s="1" t="s">
        <v>77</v>
      </c>
      <c r="L442">
        <v>20220809093028</v>
      </c>
      <c r="M442" s="1" t="s">
        <v>685</v>
      </c>
      <c r="N442" s="1" t="s">
        <v>140</v>
      </c>
      <c r="O442">
        <v>8</v>
      </c>
      <c r="P442" s="3">
        <v>44782</v>
      </c>
      <c r="Q442">
        <v>32</v>
      </c>
    </row>
    <row r="443" spans="1:17" x14ac:dyDescent="0.3">
      <c r="A443" s="1" t="s">
        <v>682</v>
      </c>
      <c r="B443" s="2">
        <v>44782.395833333336</v>
      </c>
      <c r="C443" s="1" t="s">
        <v>434</v>
      </c>
      <c r="D443" s="1" t="s">
        <v>60</v>
      </c>
      <c r="E443" s="1" t="s">
        <v>77</v>
      </c>
      <c r="F443" s="1" t="s">
        <v>77</v>
      </c>
      <c r="G443" s="1" t="s">
        <v>77</v>
      </c>
      <c r="H443" s="1" t="s">
        <v>61</v>
      </c>
      <c r="I443" s="1" t="s">
        <v>435</v>
      </c>
      <c r="J443" s="1" t="s">
        <v>77</v>
      </c>
      <c r="K443" s="1" t="s">
        <v>77</v>
      </c>
      <c r="L443">
        <v>20220809093041</v>
      </c>
      <c r="M443" s="1" t="s">
        <v>686</v>
      </c>
      <c r="N443" s="1" t="s">
        <v>140</v>
      </c>
      <c r="O443">
        <v>8</v>
      </c>
      <c r="P443" s="3">
        <v>44782</v>
      </c>
      <c r="Q443">
        <v>32</v>
      </c>
    </row>
    <row r="444" spans="1:17" x14ac:dyDescent="0.3">
      <c r="A444" s="1" t="s">
        <v>682</v>
      </c>
      <c r="B444" s="2">
        <v>44782.396527777775</v>
      </c>
      <c r="C444" s="1" t="s">
        <v>18</v>
      </c>
      <c r="D444" s="1" t="s">
        <v>195</v>
      </c>
      <c r="E444" s="1" t="s">
        <v>77</v>
      </c>
      <c r="F444" s="1" t="s">
        <v>77</v>
      </c>
      <c r="G444" s="1" t="s">
        <v>77</v>
      </c>
      <c r="H444" s="1" t="s">
        <v>77</v>
      </c>
      <c r="I444" s="1" t="s">
        <v>77</v>
      </c>
      <c r="J444" s="1" t="s">
        <v>21</v>
      </c>
      <c r="K444" s="1" t="s">
        <v>331</v>
      </c>
      <c r="L444">
        <v>20220809093054</v>
      </c>
      <c r="M444" s="1" t="s">
        <v>687</v>
      </c>
      <c r="N444" s="1" t="s">
        <v>140</v>
      </c>
      <c r="O444">
        <v>8</v>
      </c>
      <c r="P444" s="3">
        <v>44782</v>
      </c>
      <c r="Q444">
        <v>32</v>
      </c>
    </row>
    <row r="445" spans="1:17" x14ac:dyDescent="0.3">
      <c r="A445" s="1" t="s">
        <v>688</v>
      </c>
      <c r="B445" s="2">
        <v>44782.396527777775</v>
      </c>
      <c r="C445" s="1" t="s">
        <v>37</v>
      </c>
      <c r="D445" s="1" t="s">
        <v>53</v>
      </c>
      <c r="E445" s="1" t="s">
        <v>56</v>
      </c>
      <c r="F445" s="1" t="s">
        <v>77</v>
      </c>
      <c r="G445" s="1" t="s">
        <v>77</v>
      </c>
      <c r="H445" s="1" t="s">
        <v>77</v>
      </c>
      <c r="I445" s="1" t="s">
        <v>77</v>
      </c>
      <c r="J445" s="1" t="s">
        <v>77</v>
      </c>
      <c r="K445" s="1" t="s">
        <v>77</v>
      </c>
      <c r="L445">
        <v>20220809093106</v>
      </c>
      <c r="M445" s="1" t="s">
        <v>689</v>
      </c>
      <c r="N445" s="1" t="s">
        <v>140</v>
      </c>
      <c r="O445">
        <v>8</v>
      </c>
      <c r="P445" s="3">
        <v>44782</v>
      </c>
      <c r="Q445">
        <v>32</v>
      </c>
    </row>
    <row r="446" spans="1:17" x14ac:dyDescent="0.3">
      <c r="A446" s="1" t="s">
        <v>688</v>
      </c>
      <c r="B446" s="2">
        <v>44782.396527777775</v>
      </c>
      <c r="C446" s="1" t="s">
        <v>37</v>
      </c>
      <c r="D446" s="1" t="s">
        <v>47</v>
      </c>
      <c r="E446" s="1" t="s">
        <v>536</v>
      </c>
      <c r="F446" s="1" t="s">
        <v>77</v>
      </c>
      <c r="G446" s="1" t="s">
        <v>77</v>
      </c>
      <c r="H446" s="1" t="s">
        <v>77</v>
      </c>
      <c r="I446" s="1" t="s">
        <v>77</v>
      </c>
      <c r="J446" s="1" t="s">
        <v>77</v>
      </c>
      <c r="K446" s="1" t="s">
        <v>77</v>
      </c>
      <c r="L446">
        <v>20220809093119</v>
      </c>
      <c r="M446" s="1" t="s">
        <v>690</v>
      </c>
      <c r="N446" s="1" t="s">
        <v>140</v>
      </c>
      <c r="O446">
        <v>8</v>
      </c>
      <c r="P446" s="3">
        <v>44782</v>
      </c>
      <c r="Q446">
        <v>32</v>
      </c>
    </row>
    <row r="447" spans="1:17" x14ac:dyDescent="0.3">
      <c r="A447" s="1" t="s">
        <v>688</v>
      </c>
      <c r="B447" s="2">
        <v>44782.396527777775</v>
      </c>
      <c r="C447" s="1" t="s">
        <v>37</v>
      </c>
      <c r="D447" s="1" t="s">
        <v>44</v>
      </c>
      <c r="E447" s="1" t="s">
        <v>45</v>
      </c>
      <c r="F447" s="1" t="s">
        <v>77</v>
      </c>
      <c r="G447" s="1" t="s">
        <v>77</v>
      </c>
      <c r="H447" s="1" t="s">
        <v>77</v>
      </c>
      <c r="I447" s="1" t="s">
        <v>77</v>
      </c>
      <c r="J447" s="1" t="s">
        <v>77</v>
      </c>
      <c r="K447" s="1" t="s">
        <v>77</v>
      </c>
      <c r="L447">
        <v>20220809093131</v>
      </c>
      <c r="M447" s="1" t="s">
        <v>691</v>
      </c>
      <c r="N447" s="1" t="s">
        <v>140</v>
      </c>
      <c r="O447">
        <v>8</v>
      </c>
      <c r="P447" s="3">
        <v>44782</v>
      </c>
      <c r="Q447">
        <v>32</v>
      </c>
    </row>
    <row r="448" spans="1:17" x14ac:dyDescent="0.3">
      <c r="A448" s="1" t="s">
        <v>692</v>
      </c>
      <c r="B448" s="2">
        <v>44783.415277777778</v>
      </c>
      <c r="C448" s="1" t="s">
        <v>37</v>
      </c>
      <c r="D448" s="1" t="s">
        <v>26</v>
      </c>
      <c r="E448" s="1" t="s">
        <v>27</v>
      </c>
      <c r="F448" s="1" t="s">
        <v>77</v>
      </c>
      <c r="G448" s="1" t="s">
        <v>77</v>
      </c>
      <c r="H448" s="1" t="s">
        <v>77</v>
      </c>
      <c r="I448" s="1" t="s">
        <v>77</v>
      </c>
      <c r="J448" s="1" t="s">
        <v>77</v>
      </c>
      <c r="K448" s="1" t="s">
        <v>77</v>
      </c>
      <c r="L448">
        <v>20220810095829</v>
      </c>
      <c r="M448" s="1" t="s">
        <v>693</v>
      </c>
      <c r="N448" s="1" t="s">
        <v>24</v>
      </c>
      <c r="O448">
        <v>8</v>
      </c>
      <c r="P448" s="3">
        <v>44783</v>
      </c>
      <c r="Q448">
        <v>32</v>
      </c>
    </row>
    <row r="449" spans="1:17" x14ac:dyDescent="0.3">
      <c r="A449" s="1" t="s">
        <v>692</v>
      </c>
      <c r="B449" s="2">
        <v>44783.415277777778</v>
      </c>
      <c r="C449" s="1" t="s">
        <v>37</v>
      </c>
      <c r="D449" s="1" t="s">
        <v>41</v>
      </c>
      <c r="E449" s="1" t="s">
        <v>42</v>
      </c>
      <c r="F449" s="1" t="s">
        <v>77</v>
      </c>
      <c r="G449" s="1" t="s">
        <v>77</v>
      </c>
      <c r="H449" s="1" t="s">
        <v>77</v>
      </c>
      <c r="I449" s="1" t="s">
        <v>77</v>
      </c>
      <c r="J449" s="1" t="s">
        <v>77</v>
      </c>
      <c r="K449" s="1" t="s">
        <v>77</v>
      </c>
      <c r="L449">
        <v>20220810095850</v>
      </c>
      <c r="M449" s="1" t="s">
        <v>694</v>
      </c>
      <c r="N449" s="1" t="s">
        <v>24</v>
      </c>
      <c r="O449">
        <v>8</v>
      </c>
      <c r="P449" s="3">
        <v>44783</v>
      </c>
      <c r="Q449">
        <v>32</v>
      </c>
    </row>
    <row r="450" spans="1:17" x14ac:dyDescent="0.3">
      <c r="A450" s="1" t="s">
        <v>692</v>
      </c>
      <c r="B450" s="2">
        <v>44783.415972222225</v>
      </c>
      <c r="C450" s="1" t="s">
        <v>168</v>
      </c>
      <c r="D450" s="1" t="s">
        <v>44</v>
      </c>
      <c r="E450" s="1" t="s">
        <v>20</v>
      </c>
      <c r="F450" s="1" t="s">
        <v>45</v>
      </c>
      <c r="G450" s="1" t="s">
        <v>695</v>
      </c>
      <c r="H450" s="1" t="s">
        <v>77</v>
      </c>
      <c r="I450" s="1" t="s">
        <v>77</v>
      </c>
      <c r="J450" s="1" t="s">
        <v>20</v>
      </c>
      <c r="K450" s="1" t="s">
        <v>77</v>
      </c>
      <c r="L450">
        <v>20220810095859</v>
      </c>
      <c r="M450" s="1" t="s">
        <v>696</v>
      </c>
      <c r="N450" s="1" t="s">
        <v>24</v>
      </c>
      <c r="O450">
        <v>8</v>
      </c>
      <c r="P450" s="3">
        <v>44783</v>
      </c>
      <c r="Q450">
        <v>32</v>
      </c>
    </row>
    <row r="451" spans="1:17" x14ac:dyDescent="0.3">
      <c r="A451" s="1" t="s">
        <v>697</v>
      </c>
      <c r="B451" s="2">
        <v>44783.415972222225</v>
      </c>
      <c r="C451" s="1" t="s">
        <v>37</v>
      </c>
      <c r="D451" s="1" t="s">
        <v>47</v>
      </c>
      <c r="E451" s="1" t="s">
        <v>48</v>
      </c>
      <c r="F451" s="1" t="s">
        <v>77</v>
      </c>
      <c r="G451" s="1" t="s">
        <v>77</v>
      </c>
      <c r="H451" s="1" t="s">
        <v>77</v>
      </c>
      <c r="I451" s="1" t="s">
        <v>77</v>
      </c>
      <c r="J451" s="1" t="s">
        <v>77</v>
      </c>
      <c r="K451" s="1" t="s">
        <v>77</v>
      </c>
      <c r="L451">
        <v>20220810095909</v>
      </c>
      <c r="M451" s="1" t="s">
        <v>698</v>
      </c>
      <c r="N451" s="1" t="s">
        <v>24</v>
      </c>
      <c r="O451">
        <v>8</v>
      </c>
      <c r="P451" s="3">
        <v>44783</v>
      </c>
      <c r="Q451">
        <v>32</v>
      </c>
    </row>
    <row r="452" spans="1:17" x14ac:dyDescent="0.3">
      <c r="A452" s="1" t="s">
        <v>697</v>
      </c>
      <c r="B452" s="2">
        <v>44783.415972222225</v>
      </c>
      <c r="C452" s="1" t="s">
        <v>37</v>
      </c>
      <c r="D452" s="1" t="s">
        <v>47</v>
      </c>
      <c r="E452" s="1" t="s">
        <v>51</v>
      </c>
      <c r="F452" s="1" t="s">
        <v>77</v>
      </c>
      <c r="G452" s="1" t="s">
        <v>77</v>
      </c>
      <c r="H452" s="1" t="s">
        <v>77</v>
      </c>
      <c r="I452" s="1" t="s">
        <v>77</v>
      </c>
      <c r="J452" s="1" t="s">
        <v>77</v>
      </c>
      <c r="K452" s="1" t="s">
        <v>77</v>
      </c>
      <c r="L452">
        <v>20220810095920</v>
      </c>
      <c r="M452" s="1" t="s">
        <v>699</v>
      </c>
      <c r="N452" s="1" t="s">
        <v>24</v>
      </c>
      <c r="O452">
        <v>8</v>
      </c>
      <c r="P452" s="3">
        <v>44783</v>
      </c>
      <c r="Q452">
        <v>32</v>
      </c>
    </row>
    <row r="453" spans="1:17" x14ac:dyDescent="0.3">
      <c r="A453" s="1" t="s">
        <v>697</v>
      </c>
      <c r="B453" s="2">
        <v>44783.415972222225</v>
      </c>
      <c r="C453" s="1" t="s">
        <v>37</v>
      </c>
      <c r="D453" s="1" t="s">
        <v>47</v>
      </c>
      <c r="E453" s="1" t="s">
        <v>536</v>
      </c>
      <c r="F453" s="1" t="s">
        <v>77</v>
      </c>
      <c r="G453" s="1" t="s">
        <v>77</v>
      </c>
      <c r="H453" s="1" t="s">
        <v>77</v>
      </c>
      <c r="I453" s="1" t="s">
        <v>77</v>
      </c>
      <c r="J453" s="1" t="s">
        <v>77</v>
      </c>
      <c r="K453" s="1" t="s">
        <v>77</v>
      </c>
      <c r="L453">
        <v>20220810095928</v>
      </c>
      <c r="M453" s="1" t="s">
        <v>700</v>
      </c>
      <c r="N453" s="1" t="s">
        <v>24</v>
      </c>
      <c r="O453">
        <v>8</v>
      </c>
      <c r="P453" s="3">
        <v>44783</v>
      </c>
      <c r="Q453">
        <v>32</v>
      </c>
    </row>
    <row r="454" spans="1:17" x14ac:dyDescent="0.3">
      <c r="A454" s="1" t="s">
        <v>697</v>
      </c>
      <c r="B454" s="2">
        <v>44783.415972222225</v>
      </c>
      <c r="C454" s="1" t="s">
        <v>37</v>
      </c>
      <c r="D454" s="1" t="s">
        <v>53</v>
      </c>
      <c r="E454" s="1" t="s">
        <v>54</v>
      </c>
      <c r="F454" s="1" t="s">
        <v>77</v>
      </c>
      <c r="G454" s="1" t="s">
        <v>77</v>
      </c>
      <c r="H454" s="1" t="s">
        <v>77</v>
      </c>
      <c r="I454" s="1" t="s">
        <v>77</v>
      </c>
      <c r="J454" s="1" t="s">
        <v>77</v>
      </c>
      <c r="K454" s="1" t="s">
        <v>77</v>
      </c>
      <c r="L454">
        <v>20220810095936</v>
      </c>
      <c r="M454" s="1" t="s">
        <v>701</v>
      </c>
      <c r="N454" s="1" t="s">
        <v>24</v>
      </c>
      <c r="O454">
        <v>8</v>
      </c>
      <c r="P454" s="3">
        <v>44783</v>
      </c>
      <c r="Q454">
        <v>32</v>
      </c>
    </row>
    <row r="455" spans="1:17" x14ac:dyDescent="0.3">
      <c r="A455" s="1" t="s">
        <v>697</v>
      </c>
      <c r="B455" s="2">
        <v>44783.415972222225</v>
      </c>
      <c r="C455" s="1" t="s">
        <v>37</v>
      </c>
      <c r="D455" s="1" t="s">
        <v>60</v>
      </c>
      <c r="E455" s="1" t="s">
        <v>61</v>
      </c>
      <c r="F455" s="1" t="s">
        <v>77</v>
      </c>
      <c r="G455" s="1" t="s">
        <v>77</v>
      </c>
      <c r="H455" s="1" t="s">
        <v>77</v>
      </c>
      <c r="I455" s="1" t="s">
        <v>77</v>
      </c>
      <c r="J455" s="1" t="s">
        <v>77</v>
      </c>
      <c r="K455" s="1" t="s">
        <v>77</v>
      </c>
      <c r="L455">
        <v>20220810095946</v>
      </c>
      <c r="M455" s="1" t="s">
        <v>702</v>
      </c>
      <c r="N455" s="1" t="s">
        <v>24</v>
      </c>
      <c r="O455">
        <v>8</v>
      </c>
      <c r="P455" s="3">
        <v>44783</v>
      </c>
      <c r="Q455">
        <v>32</v>
      </c>
    </row>
    <row r="456" spans="1:17" x14ac:dyDescent="0.3">
      <c r="A456" s="1" t="s">
        <v>697</v>
      </c>
      <c r="B456" s="2">
        <v>44783.416666666664</v>
      </c>
      <c r="C456" s="1" t="s">
        <v>168</v>
      </c>
      <c r="D456" s="1" t="s">
        <v>38</v>
      </c>
      <c r="E456" s="1" t="s">
        <v>77</v>
      </c>
      <c r="F456" s="1" t="s">
        <v>39</v>
      </c>
      <c r="G456" s="1" t="s">
        <v>485</v>
      </c>
      <c r="H456" s="1" t="s">
        <v>77</v>
      </c>
      <c r="I456" s="1" t="s">
        <v>77</v>
      </c>
      <c r="J456" s="1" t="s">
        <v>77</v>
      </c>
      <c r="K456" s="1" t="s">
        <v>77</v>
      </c>
      <c r="L456">
        <v>20220810095958</v>
      </c>
      <c r="M456" s="1" t="s">
        <v>703</v>
      </c>
      <c r="N456" s="1" t="s">
        <v>24</v>
      </c>
      <c r="O456">
        <v>8</v>
      </c>
      <c r="P456" s="3">
        <v>44783</v>
      </c>
      <c r="Q456">
        <v>32</v>
      </c>
    </row>
    <row r="457" spans="1:17" x14ac:dyDescent="0.3">
      <c r="A457" s="1" t="s">
        <v>704</v>
      </c>
      <c r="B457" s="2">
        <v>44783.416666666664</v>
      </c>
      <c r="C457" s="1" t="s">
        <v>18</v>
      </c>
      <c r="D457" s="1" t="s">
        <v>29</v>
      </c>
      <c r="E457" s="1" t="s">
        <v>77</v>
      </c>
      <c r="F457" s="1" t="s">
        <v>77</v>
      </c>
      <c r="G457" s="1" t="s">
        <v>77</v>
      </c>
      <c r="H457" s="1" t="s">
        <v>77</v>
      </c>
      <c r="I457" s="1" t="s">
        <v>77</v>
      </c>
      <c r="J457" s="1" t="s">
        <v>30</v>
      </c>
      <c r="K457" s="1" t="s">
        <v>175</v>
      </c>
      <c r="L457">
        <v>20220810100009</v>
      </c>
      <c r="M457" s="1" t="s">
        <v>705</v>
      </c>
      <c r="N457" s="1" t="s">
        <v>24</v>
      </c>
      <c r="O457">
        <v>8</v>
      </c>
      <c r="P457" s="3">
        <v>44783</v>
      </c>
      <c r="Q457">
        <v>32</v>
      </c>
    </row>
    <row r="458" spans="1:17" x14ac:dyDescent="0.3">
      <c r="A458" s="1" t="s">
        <v>706</v>
      </c>
      <c r="B458" s="2">
        <v>44783.418055555558</v>
      </c>
      <c r="C458" s="1" t="s">
        <v>18</v>
      </c>
      <c r="D458" s="1" t="s">
        <v>29</v>
      </c>
      <c r="E458" s="1" t="s">
        <v>77</v>
      </c>
      <c r="F458" s="1" t="s">
        <v>77</v>
      </c>
      <c r="G458" s="1" t="s">
        <v>77</v>
      </c>
      <c r="H458" s="1" t="s">
        <v>77</v>
      </c>
      <c r="I458" s="1" t="s">
        <v>77</v>
      </c>
      <c r="J458" s="1" t="s">
        <v>554</v>
      </c>
      <c r="K458" s="1" t="s">
        <v>175</v>
      </c>
      <c r="L458">
        <v>20220810100107</v>
      </c>
      <c r="M458" s="1" t="s">
        <v>707</v>
      </c>
      <c r="N458" s="1" t="s">
        <v>24</v>
      </c>
      <c r="O458">
        <v>8</v>
      </c>
      <c r="P458" s="3">
        <v>44783</v>
      </c>
      <c r="Q458">
        <v>32</v>
      </c>
    </row>
    <row r="459" spans="1:17" x14ac:dyDescent="0.3">
      <c r="A459" s="1" t="s">
        <v>708</v>
      </c>
      <c r="B459" s="2">
        <v>44783.418055555558</v>
      </c>
      <c r="C459" s="1" t="s">
        <v>168</v>
      </c>
      <c r="D459" s="1" t="s">
        <v>20</v>
      </c>
      <c r="E459" s="1" t="s">
        <v>77</v>
      </c>
      <c r="F459" s="1" t="s">
        <v>19</v>
      </c>
      <c r="G459" s="1" t="s">
        <v>709</v>
      </c>
      <c r="H459" s="1" t="s">
        <v>77</v>
      </c>
      <c r="I459" s="1" t="s">
        <v>77</v>
      </c>
      <c r="J459" s="1" t="s">
        <v>58</v>
      </c>
      <c r="K459" s="1" t="s">
        <v>171</v>
      </c>
      <c r="L459">
        <v>20220810100239</v>
      </c>
      <c r="M459" s="1" t="s">
        <v>710</v>
      </c>
      <c r="N459" s="1" t="s">
        <v>24</v>
      </c>
      <c r="O459">
        <v>8</v>
      </c>
      <c r="P459" s="3">
        <v>44783</v>
      </c>
      <c r="Q459">
        <v>32</v>
      </c>
    </row>
    <row r="460" spans="1:17" x14ac:dyDescent="0.3">
      <c r="A460" s="1" t="s">
        <v>711</v>
      </c>
      <c r="B460" s="2">
        <v>44783.42083333333</v>
      </c>
      <c r="C460" s="1" t="s">
        <v>18</v>
      </c>
      <c r="D460" s="1" t="s">
        <v>195</v>
      </c>
      <c r="E460" s="1" t="s">
        <v>77</v>
      </c>
      <c r="F460" s="1" t="s">
        <v>77</v>
      </c>
      <c r="G460" s="1" t="s">
        <v>77</v>
      </c>
      <c r="H460" s="1" t="s">
        <v>77</v>
      </c>
      <c r="I460" s="1" t="s">
        <v>77</v>
      </c>
      <c r="J460" s="1" t="s">
        <v>21</v>
      </c>
      <c r="K460" s="1" t="s">
        <v>331</v>
      </c>
      <c r="L460">
        <v>20220810100547</v>
      </c>
      <c r="M460" s="1" t="s">
        <v>712</v>
      </c>
      <c r="N460" s="1" t="s">
        <v>24</v>
      </c>
      <c r="O460">
        <v>8</v>
      </c>
      <c r="P460" s="3">
        <v>44783</v>
      </c>
      <c r="Q460">
        <v>32</v>
      </c>
    </row>
    <row r="461" spans="1:17" x14ac:dyDescent="0.3">
      <c r="A461" s="1" t="s">
        <v>713</v>
      </c>
      <c r="B461" s="2">
        <v>44783.42083333333</v>
      </c>
      <c r="C461" s="1" t="s">
        <v>37</v>
      </c>
      <c r="D461" s="1" t="s">
        <v>53</v>
      </c>
      <c r="E461" s="1" t="s">
        <v>56</v>
      </c>
      <c r="F461" s="1" t="s">
        <v>77</v>
      </c>
      <c r="G461" s="1" t="s">
        <v>77</v>
      </c>
      <c r="H461" s="1" t="s">
        <v>77</v>
      </c>
      <c r="I461" s="1" t="s">
        <v>77</v>
      </c>
      <c r="J461" s="1" t="s">
        <v>77</v>
      </c>
      <c r="K461" s="1" t="s">
        <v>77</v>
      </c>
      <c r="L461">
        <v>20220810100609</v>
      </c>
      <c r="M461" s="1" t="s">
        <v>714</v>
      </c>
      <c r="N461" s="1" t="s">
        <v>24</v>
      </c>
      <c r="O461">
        <v>8</v>
      </c>
      <c r="P461" s="3">
        <v>44783</v>
      </c>
      <c r="Q461">
        <v>32</v>
      </c>
    </row>
    <row r="462" spans="1:17" x14ac:dyDescent="0.3">
      <c r="A462" s="1" t="s">
        <v>715</v>
      </c>
      <c r="B462" s="2">
        <v>44784.436111111114</v>
      </c>
      <c r="C462" s="1" t="s">
        <v>37</v>
      </c>
      <c r="D462" s="1" t="s">
        <v>26</v>
      </c>
      <c r="E462" s="1" t="s">
        <v>27</v>
      </c>
      <c r="F462" s="1" t="s">
        <v>77</v>
      </c>
      <c r="G462" s="1" t="s">
        <v>77</v>
      </c>
      <c r="H462" s="1" t="s">
        <v>77</v>
      </c>
      <c r="I462" s="1" t="s">
        <v>77</v>
      </c>
      <c r="J462" s="1" t="s">
        <v>77</v>
      </c>
      <c r="K462" s="1" t="s">
        <v>77</v>
      </c>
      <c r="L462">
        <v>20220811102812</v>
      </c>
      <c r="M462" s="1" t="s">
        <v>716</v>
      </c>
      <c r="N462" s="1" t="s">
        <v>65</v>
      </c>
      <c r="O462">
        <v>8</v>
      </c>
      <c r="P462" s="3">
        <v>44784</v>
      </c>
      <c r="Q462">
        <v>32</v>
      </c>
    </row>
    <row r="463" spans="1:17" x14ac:dyDescent="0.3">
      <c r="A463" s="1" t="s">
        <v>715</v>
      </c>
      <c r="B463" s="2">
        <v>44784.436111111114</v>
      </c>
      <c r="C463" s="1" t="s">
        <v>37</v>
      </c>
      <c r="D463" s="1" t="s">
        <v>41</v>
      </c>
      <c r="E463" s="1" t="s">
        <v>42</v>
      </c>
      <c r="F463" s="1" t="s">
        <v>77</v>
      </c>
      <c r="G463" s="1" t="s">
        <v>77</v>
      </c>
      <c r="H463" s="1" t="s">
        <v>77</v>
      </c>
      <c r="I463" s="1" t="s">
        <v>77</v>
      </c>
      <c r="J463" s="1" t="s">
        <v>77</v>
      </c>
      <c r="K463" s="1" t="s">
        <v>77</v>
      </c>
      <c r="L463">
        <v>20220811102820</v>
      </c>
      <c r="M463" s="1" t="s">
        <v>717</v>
      </c>
      <c r="N463" s="1" t="s">
        <v>65</v>
      </c>
      <c r="O463">
        <v>8</v>
      </c>
      <c r="P463" s="3">
        <v>44784</v>
      </c>
      <c r="Q463">
        <v>32</v>
      </c>
    </row>
    <row r="464" spans="1:17" x14ac:dyDescent="0.3">
      <c r="A464" s="1" t="s">
        <v>715</v>
      </c>
      <c r="B464" s="2">
        <v>44784.436111111114</v>
      </c>
      <c r="C464" s="1" t="s">
        <v>37</v>
      </c>
      <c r="D464" s="1" t="s">
        <v>47</v>
      </c>
      <c r="E464" s="1" t="s">
        <v>48</v>
      </c>
      <c r="F464" s="1" t="s">
        <v>77</v>
      </c>
      <c r="G464" s="1" t="s">
        <v>77</v>
      </c>
      <c r="H464" s="1" t="s">
        <v>77</v>
      </c>
      <c r="I464" s="1" t="s">
        <v>77</v>
      </c>
      <c r="J464" s="1" t="s">
        <v>77</v>
      </c>
      <c r="K464" s="1" t="s">
        <v>77</v>
      </c>
      <c r="L464">
        <v>20220811102830</v>
      </c>
      <c r="M464" s="1" t="s">
        <v>718</v>
      </c>
      <c r="N464" s="1" t="s">
        <v>65</v>
      </c>
      <c r="O464">
        <v>8</v>
      </c>
      <c r="P464" s="3">
        <v>44784</v>
      </c>
      <c r="Q464">
        <v>32</v>
      </c>
    </row>
    <row r="465" spans="1:17" x14ac:dyDescent="0.3">
      <c r="A465" s="1" t="s">
        <v>715</v>
      </c>
      <c r="B465" s="2">
        <v>44784.436111111114</v>
      </c>
      <c r="C465" s="1" t="s">
        <v>37</v>
      </c>
      <c r="D465" s="1" t="s">
        <v>47</v>
      </c>
      <c r="E465" s="1" t="s">
        <v>51</v>
      </c>
      <c r="F465" s="1" t="s">
        <v>77</v>
      </c>
      <c r="G465" s="1" t="s">
        <v>77</v>
      </c>
      <c r="H465" s="1" t="s">
        <v>77</v>
      </c>
      <c r="I465" s="1" t="s">
        <v>77</v>
      </c>
      <c r="J465" s="1" t="s">
        <v>77</v>
      </c>
      <c r="K465" s="1" t="s">
        <v>77</v>
      </c>
      <c r="L465">
        <v>20220811102841</v>
      </c>
      <c r="M465" s="1" t="s">
        <v>719</v>
      </c>
      <c r="N465" s="1" t="s">
        <v>65</v>
      </c>
      <c r="O465">
        <v>8</v>
      </c>
      <c r="P465" s="3">
        <v>44784</v>
      </c>
      <c r="Q465">
        <v>32</v>
      </c>
    </row>
    <row r="466" spans="1:17" x14ac:dyDescent="0.3">
      <c r="A466" s="1" t="s">
        <v>715</v>
      </c>
      <c r="B466" s="2">
        <v>44784.436111111114</v>
      </c>
      <c r="C466" s="1" t="s">
        <v>37</v>
      </c>
      <c r="D466" s="1" t="s">
        <v>47</v>
      </c>
      <c r="E466" s="1" t="s">
        <v>536</v>
      </c>
      <c r="F466" s="1" t="s">
        <v>77</v>
      </c>
      <c r="G466" s="1" t="s">
        <v>77</v>
      </c>
      <c r="H466" s="1" t="s">
        <v>77</v>
      </c>
      <c r="I466" s="1" t="s">
        <v>77</v>
      </c>
      <c r="J466" s="1" t="s">
        <v>77</v>
      </c>
      <c r="K466" s="1" t="s">
        <v>77</v>
      </c>
      <c r="L466">
        <v>20220811102849</v>
      </c>
      <c r="M466" s="1" t="s">
        <v>720</v>
      </c>
      <c r="N466" s="1" t="s">
        <v>65</v>
      </c>
      <c r="O466">
        <v>8</v>
      </c>
      <c r="P466" s="3">
        <v>44784</v>
      </c>
      <c r="Q466">
        <v>32</v>
      </c>
    </row>
    <row r="467" spans="1:17" x14ac:dyDescent="0.3">
      <c r="A467" s="1" t="s">
        <v>715</v>
      </c>
      <c r="B467" s="2">
        <v>44784.436805555553</v>
      </c>
      <c r="C467" s="1" t="s">
        <v>37</v>
      </c>
      <c r="D467" s="1" t="s">
        <v>53</v>
      </c>
      <c r="E467" s="1" t="s">
        <v>54</v>
      </c>
      <c r="F467" s="1" t="s">
        <v>77</v>
      </c>
      <c r="G467" s="1" t="s">
        <v>77</v>
      </c>
      <c r="H467" s="1" t="s">
        <v>77</v>
      </c>
      <c r="I467" s="1" t="s">
        <v>77</v>
      </c>
      <c r="J467" s="1" t="s">
        <v>77</v>
      </c>
      <c r="K467" s="1" t="s">
        <v>77</v>
      </c>
      <c r="L467">
        <v>20220811102857</v>
      </c>
      <c r="M467" s="1" t="s">
        <v>721</v>
      </c>
      <c r="N467" s="1" t="s">
        <v>65</v>
      </c>
      <c r="O467">
        <v>8</v>
      </c>
      <c r="P467" s="3">
        <v>44784</v>
      </c>
      <c r="Q467">
        <v>32</v>
      </c>
    </row>
    <row r="468" spans="1:17" x14ac:dyDescent="0.3">
      <c r="A468" s="1" t="s">
        <v>722</v>
      </c>
      <c r="B468" s="2">
        <v>44784.436805555553</v>
      </c>
      <c r="C468" s="1" t="s">
        <v>37</v>
      </c>
      <c r="D468" s="1" t="s">
        <v>53</v>
      </c>
      <c r="E468" s="1" t="s">
        <v>56</v>
      </c>
      <c r="F468" s="1" t="s">
        <v>77</v>
      </c>
      <c r="G468" s="1" t="s">
        <v>77</v>
      </c>
      <c r="H468" s="1" t="s">
        <v>77</v>
      </c>
      <c r="I468" s="1" t="s">
        <v>77</v>
      </c>
      <c r="J468" s="1" t="s">
        <v>77</v>
      </c>
      <c r="K468" s="1" t="s">
        <v>77</v>
      </c>
      <c r="L468">
        <v>20220811102905</v>
      </c>
      <c r="M468" s="1" t="s">
        <v>723</v>
      </c>
      <c r="N468" s="1" t="s">
        <v>65</v>
      </c>
      <c r="O468">
        <v>8</v>
      </c>
      <c r="P468" s="3">
        <v>44784</v>
      </c>
      <c r="Q468">
        <v>32</v>
      </c>
    </row>
    <row r="469" spans="1:17" x14ac:dyDescent="0.3">
      <c r="A469" s="1" t="s">
        <v>722</v>
      </c>
      <c r="B469" s="2">
        <v>44784.436805555553</v>
      </c>
      <c r="C469" s="1" t="s">
        <v>37</v>
      </c>
      <c r="D469" s="1" t="s">
        <v>19</v>
      </c>
      <c r="E469" s="1" t="s">
        <v>58</v>
      </c>
      <c r="F469" s="1" t="s">
        <v>77</v>
      </c>
      <c r="G469" s="1" t="s">
        <v>77</v>
      </c>
      <c r="H469" s="1" t="s">
        <v>77</v>
      </c>
      <c r="I469" s="1" t="s">
        <v>77</v>
      </c>
      <c r="J469" s="1" t="s">
        <v>77</v>
      </c>
      <c r="K469" s="1" t="s">
        <v>77</v>
      </c>
      <c r="L469">
        <v>20220811102913</v>
      </c>
      <c r="M469" s="1" t="s">
        <v>724</v>
      </c>
      <c r="N469" s="1" t="s">
        <v>65</v>
      </c>
      <c r="O469">
        <v>8</v>
      </c>
      <c r="P469" s="3">
        <v>44784</v>
      </c>
      <c r="Q469">
        <v>32</v>
      </c>
    </row>
    <row r="470" spans="1:17" x14ac:dyDescent="0.3">
      <c r="A470" s="1" t="s">
        <v>722</v>
      </c>
      <c r="B470" s="2">
        <v>44784.436805555553</v>
      </c>
      <c r="C470" s="1" t="s">
        <v>37</v>
      </c>
      <c r="D470" s="1" t="s">
        <v>60</v>
      </c>
      <c r="E470" s="1" t="s">
        <v>61</v>
      </c>
      <c r="F470" s="1" t="s">
        <v>77</v>
      </c>
      <c r="G470" s="1" t="s">
        <v>77</v>
      </c>
      <c r="H470" s="1" t="s">
        <v>77</v>
      </c>
      <c r="I470" s="1" t="s">
        <v>77</v>
      </c>
      <c r="J470" s="1" t="s">
        <v>77</v>
      </c>
      <c r="K470" s="1" t="s">
        <v>77</v>
      </c>
      <c r="L470">
        <v>20220811102920</v>
      </c>
      <c r="M470" s="1" t="s">
        <v>725</v>
      </c>
      <c r="N470" s="1" t="s">
        <v>65</v>
      </c>
      <c r="O470">
        <v>8</v>
      </c>
      <c r="P470" s="3">
        <v>44784</v>
      </c>
      <c r="Q470">
        <v>32</v>
      </c>
    </row>
    <row r="471" spans="1:17" x14ac:dyDescent="0.3">
      <c r="A471" s="1" t="s">
        <v>722</v>
      </c>
      <c r="B471" s="2">
        <v>44784.436805555553</v>
      </c>
      <c r="C471" s="1" t="s">
        <v>37</v>
      </c>
      <c r="D471" s="1" t="s">
        <v>29</v>
      </c>
      <c r="E471" s="1" t="s">
        <v>30</v>
      </c>
      <c r="F471" s="1" t="s">
        <v>77</v>
      </c>
      <c r="G471" s="1" t="s">
        <v>77</v>
      </c>
      <c r="H471" s="1" t="s">
        <v>77</v>
      </c>
      <c r="I471" s="1" t="s">
        <v>77</v>
      </c>
      <c r="J471" s="1" t="s">
        <v>77</v>
      </c>
      <c r="K471" s="1" t="s">
        <v>77</v>
      </c>
      <c r="L471">
        <v>20220811102927</v>
      </c>
      <c r="M471" s="1" t="s">
        <v>726</v>
      </c>
      <c r="N471" s="1" t="s">
        <v>65</v>
      </c>
      <c r="O471">
        <v>8</v>
      </c>
      <c r="P471" s="3">
        <v>44784</v>
      </c>
      <c r="Q471">
        <v>32</v>
      </c>
    </row>
    <row r="472" spans="1:17" x14ac:dyDescent="0.3">
      <c r="A472" s="1" t="s">
        <v>722</v>
      </c>
      <c r="B472" s="2">
        <v>44784.436805555553</v>
      </c>
      <c r="C472" s="1" t="s">
        <v>37</v>
      </c>
      <c r="D472" s="1" t="s">
        <v>29</v>
      </c>
      <c r="E472" s="1" t="s">
        <v>554</v>
      </c>
      <c r="F472" s="1" t="s">
        <v>77</v>
      </c>
      <c r="G472" s="1" t="s">
        <v>77</v>
      </c>
      <c r="H472" s="1" t="s">
        <v>77</v>
      </c>
      <c r="I472" s="1" t="s">
        <v>77</v>
      </c>
      <c r="J472" s="1" t="s">
        <v>77</v>
      </c>
      <c r="K472" s="1" t="s">
        <v>77</v>
      </c>
      <c r="L472">
        <v>20220811102935</v>
      </c>
      <c r="M472" s="1" t="s">
        <v>727</v>
      </c>
      <c r="N472" s="1" t="s">
        <v>65</v>
      </c>
      <c r="O472">
        <v>8</v>
      </c>
      <c r="P472" s="3">
        <v>44784</v>
      </c>
      <c r="Q472">
        <v>32</v>
      </c>
    </row>
    <row r="473" spans="1:17" x14ac:dyDescent="0.3">
      <c r="A473" s="1" t="s">
        <v>722</v>
      </c>
      <c r="B473" s="2">
        <v>44784.436805555553</v>
      </c>
      <c r="C473" s="1" t="s">
        <v>168</v>
      </c>
      <c r="D473" s="1" t="s">
        <v>38</v>
      </c>
      <c r="E473" s="1" t="s">
        <v>77</v>
      </c>
      <c r="F473" s="1" t="s">
        <v>39</v>
      </c>
      <c r="G473" s="1" t="s">
        <v>485</v>
      </c>
      <c r="H473" s="1" t="s">
        <v>77</v>
      </c>
      <c r="I473" s="1" t="s">
        <v>77</v>
      </c>
      <c r="J473" s="1" t="s">
        <v>77</v>
      </c>
      <c r="K473" s="1" t="s">
        <v>77</v>
      </c>
      <c r="L473">
        <v>20220811102943</v>
      </c>
      <c r="M473" s="1" t="s">
        <v>728</v>
      </c>
      <c r="N473" s="1" t="s">
        <v>65</v>
      </c>
      <c r="O473">
        <v>8</v>
      </c>
      <c r="P473" s="3">
        <v>44784</v>
      </c>
      <c r="Q473">
        <v>32</v>
      </c>
    </row>
    <row r="474" spans="1:17" x14ac:dyDescent="0.3">
      <c r="A474" s="1" t="s">
        <v>722</v>
      </c>
      <c r="B474" s="2">
        <v>44784.4375</v>
      </c>
      <c r="C474" s="1" t="s">
        <v>168</v>
      </c>
      <c r="D474" s="1" t="s">
        <v>44</v>
      </c>
      <c r="E474" s="1" t="s">
        <v>77</v>
      </c>
      <c r="F474" s="1" t="s">
        <v>45</v>
      </c>
      <c r="G474" s="1" t="s">
        <v>312</v>
      </c>
      <c r="H474" s="1" t="s">
        <v>77</v>
      </c>
      <c r="I474" s="1" t="s">
        <v>77</v>
      </c>
      <c r="J474" s="1" t="s">
        <v>77</v>
      </c>
      <c r="K474" s="1" t="s">
        <v>77</v>
      </c>
      <c r="L474">
        <v>20220811102956</v>
      </c>
      <c r="M474" s="1" t="s">
        <v>729</v>
      </c>
      <c r="N474" s="1" t="s">
        <v>65</v>
      </c>
      <c r="O474">
        <v>8</v>
      </c>
      <c r="P474" s="3">
        <v>44784</v>
      </c>
      <c r="Q474">
        <v>32</v>
      </c>
    </row>
    <row r="475" spans="1:17" x14ac:dyDescent="0.3">
      <c r="A475" s="1" t="s">
        <v>730</v>
      </c>
      <c r="B475" s="2">
        <v>44784.4375</v>
      </c>
      <c r="C475" s="1" t="s">
        <v>18</v>
      </c>
      <c r="D475" s="1" t="s">
        <v>195</v>
      </c>
      <c r="E475" s="1" t="s">
        <v>77</v>
      </c>
      <c r="F475" s="1" t="s">
        <v>77</v>
      </c>
      <c r="G475" s="1" t="s">
        <v>77</v>
      </c>
      <c r="H475" s="1" t="s">
        <v>77</v>
      </c>
      <c r="I475" s="1" t="s">
        <v>77</v>
      </c>
      <c r="J475" s="1" t="s">
        <v>21</v>
      </c>
      <c r="K475" s="1" t="s">
        <v>331</v>
      </c>
      <c r="L475">
        <v>20220811103018</v>
      </c>
      <c r="M475" s="1" t="s">
        <v>731</v>
      </c>
      <c r="N475" s="1" t="s">
        <v>65</v>
      </c>
      <c r="O475">
        <v>8</v>
      </c>
      <c r="P475" s="3">
        <v>44784</v>
      </c>
      <c r="Q475">
        <v>32</v>
      </c>
    </row>
    <row r="476" spans="1:17" x14ac:dyDescent="0.3">
      <c r="A476" s="1" t="s">
        <v>732</v>
      </c>
      <c r="B476" s="2">
        <v>44785.438194444447</v>
      </c>
      <c r="C476" s="1" t="s">
        <v>37</v>
      </c>
      <c r="D476" s="1" t="s">
        <v>26</v>
      </c>
      <c r="E476" s="1" t="s">
        <v>27</v>
      </c>
      <c r="F476" s="1" t="s">
        <v>77</v>
      </c>
      <c r="G476" s="1" t="s">
        <v>77</v>
      </c>
      <c r="H476" s="1" t="s">
        <v>77</v>
      </c>
      <c r="I476" s="1" t="s">
        <v>77</v>
      </c>
      <c r="J476" s="1" t="s">
        <v>77</v>
      </c>
      <c r="K476" s="1" t="s">
        <v>77</v>
      </c>
      <c r="L476">
        <v>20220812103141</v>
      </c>
      <c r="M476" s="1" t="s">
        <v>733</v>
      </c>
      <c r="N476" s="1" t="s">
        <v>84</v>
      </c>
      <c r="O476">
        <v>8</v>
      </c>
      <c r="P476" s="3">
        <v>44785</v>
      </c>
      <c r="Q476">
        <v>32</v>
      </c>
    </row>
    <row r="477" spans="1:17" x14ac:dyDescent="0.3">
      <c r="A477" s="1" t="s">
        <v>732</v>
      </c>
      <c r="B477" s="2">
        <v>44785.438194444447</v>
      </c>
      <c r="C477" s="1" t="s">
        <v>37</v>
      </c>
      <c r="D477" s="1" t="s">
        <v>41</v>
      </c>
      <c r="E477" s="1" t="s">
        <v>42</v>
      </c>
      <c r="F477" s="1" t="s">
        <v>77</v>
      </c>
      <c r="G477" s="1" t="s">
        <v>77</v>
      </c>
      <c r="H477" s="1" t="s">
        <v>77</v>
      </c>
      <c r="I477" s="1" t="s">
        <v>77</v>
      </c>
      <c r="J477" s="1" t="s">
        <v>77</v>
      </c>
      <c r="K477" s="1" t="s">
        <v>77</v>
      </c>
      <c r="L477">
        <v>20220812103150</v>
      </c>
      <c r="M477" s="1" t="s">
        <v>734</v>
      </c>
      <c r="N477" s="1" t="s">
        <v>84</v>
      </c>
      <c r="O477">
        <v>8</v>
      </c>
      <c r="P477" s="3">
        <v>44785</v>
      </c>
      <c r="Q477">
        <v>32</v>
      </c>
    </row>
    <row r="478" spans="1:17" x14ac:dyDescent="0.3">
      <c r="A478" s="1" t="s">
        <v>735</v>
      </c>
      <c r="B478" s="2">
        <v>44785.438888888886</v>
      </c>
      <c r="C478" s="1" t="s">
        <v>37</v>
      </c>
      <c r="D478" s="1" t="s">
        <v>47</v>
      </c>
      <c r="E478" s="1" t="s">
        <v>48</v>
      </c>
      <c r="F478" s="1" t="s">
        <v>77</v>
      </c>
      <c r="G478" s="1" t="s">
        <v>77</v>
      </c>
      <c r="H478" s="1" t="s">
        <v>77</v>
      </c>
      <c r="I478" s="1" t="s">
        <v>77</v>
      </c>
      <c r="J478" s="1" t="s">
        <v>77</v>
      </c>
      <c r="K478" s="1" t="s">
        <v>77</v>
      </c>
      <c r="L478">
        <v>20220812103201</v>
      </c>
      <c r="M478" s="1" t="s">
        <v>736</v>
      </c>
      <c r="N478" s="1" t="s">
        <v>84</v>
      </c>
      <c r="O478">
        <v>8</v>
      </c>
      <c r="P478" s="3">
        <v>44785</v>
      </c>
      <c r="Q478">
        <v>32</v>
      </c>
    </row>
    <row r="479" spans="1:17" x14ac:dyDescent="0.3">
      <c r="A479" s="1" t="s">
        <v>735</v>
      </c>
      <c r="B479" s="2">
        <v>44785.438888888886</v>
      </c>
      <c r="C479" s="1" t="s">
        <v>37</v>
      </c>
      <c r="D479" s="1" t="s">
        <v>47</v>
      </c>
      <c r="E479" s="1" t="s">
        <v>51</v>
      </c>
      <c r="F479" s="1" t="s">
        <v>77</v>
      </c>
      <c r="G479" s="1" t="s">
        <v>77</v>
      </c>
      <c r="H479" s="1" t="s">
        <v>77</v>
      </c>
      <c r="I479" s="1" t="s">
        <v>77</v>
      </c>
      <c r="J479" s="1" t="s">
        <v>77</v>
      </c>
      <c r="K479" s="1" t="s">
        <v>77</v>
      </c>
      <c r="L479">
        <v>20220812103211</v>
      </c>
      <c r="M479" s="1" t="s">
        <v>737</v>
      </c>
      <c r="N479" s="1" t="s">
        <v>84</v>
      </c>
      <c r="O479">
        <v>8</v>
      </c>
      <c r="P479" s="3">
        <v>44785</v>
      </c>
      <c r="Q479">
        <v>32</v>
      </c>
    </row>
    <row r="480" spans="1:17" x14ac:dyDescent="0.3">
      <c r="A480" s="1" t="s">
        <v>735</v>
      </c>
      <c r="B480" s="2">
        <v>44785.438888888886</v>
      </c>
      <c r="C480" s="1" t="s">
        <v>37</v>
      </c>
      <c r="D480" s="1" t="s">
        <v>47</v>
      </c>
      <c r="E480" s="1" t="s">
        <v>536</v>
      </c>
      <c r="F480" s="1" t="s">
        <v>77</v>
      </c>
      <c r="G480" s="1" t="s">
        <v>77</v>
      </c>
      <c r="H480" s="1" t="s">
        <v>77</v>
      </c>
      <c r="I480" s="1" t="s">
        <v>77</v>
      </c>
      <c r="J480" s="1" t="s">
        <v>77</v>
      </c>
      <c r="K480" s="1" t="s">
        <v>77</v>
      </c>
      <c r="L480">
        <v>20220812103222</v>
      </c>
      <c r="M480" s="1" t="s">
        <v>738</v>
      </c>
      <c r="N480" s="1" t="s">
        <v>84</v>
      </c>
      <c r="O480">
        <v>8</v>
      </c>
      <c r="P480" s="3">
        <v>44785</v>
      </c>
      <c r="Q480">
        <v>32</v>
      </c>
    </row>
    <row r="481" spans="1:17" x14ac:dyDescent="0.3">
      <c r="A481" s="1" t="s">
        <v>735</v>
      </c>
      <c r="B481" s="2">
        <v>44785.438888888886</v>
      </c>
      <c r="C481" s="1" t="s">
        <v>37</v>
      </c>
      <c r="D481" s="1" t="s">
        <v>53</v>
      </c>
      <c r="E481" s="1" t="s">
        <v>56</v>
      </c>
      <c r="F481" s="1" t="s">
        <v>77</v>
      </c>
      <c r="G481" s="1" t="s">
        <v>77</v>
      </c>
      <c r="H481" s="1" t="s">
        <v>77</v>
      </c>
      <c r="I481" s="1" t="s">
        <v>77</v>
      </c>
      <c r="J481" s="1" t="s">
        <v>77</v>
      </c>
      <c r="K481" s="1" t="s">
        <v>77</v>
      </c>
      <c r="L481">
        <v>20220812103231</v>
      </c>
      <c r="M481" s="1" t="s">
        <v>739</v>
      </c>
      <c r="N481" s="1" t="s">
        <v>84</v>
      </c>
      <c r="O481">
        <v>8</v>
      </c>
      <c r="P481" s="3">
        <v>44785</v>
      </c>
      <c r="Q481">
        <v>32</v>
      </c>
    </row>
    <row r="482" spans="1:17" x14ac:dyDescent="0.3">
      <c r="A482" s="1" t="s">
        <v>735</v>
      </c>
      <c r="B482" s="2">
        <v>44785.438888888886</v>
      </c>
      <c r="C482" s="1" t="s">
        <v>37</v>
      </c>
      <c r="D482" s="1" t="s">
        <v>19</v>
      </c>
      <c r="E482" s="1" t="s">
        <v>58</v>
      </c>
      <c r="F482" s="1" t="s">
        <v>77</v>
      </c>
      <c r="G482" s="1" t="s">
        <v>77</v>
      </c>
      <c r="H482" s="1" t="s">
        <v>77</v>
      </c>
      <c r="I482" s="1" t="s">
        <v>77</v>
      </c>
      <c r="J482" s="1" t="s">
        <v>77</v>
      </c>
      <c r="K482" s="1" t="s">
        <v>77</v>
      </c>
      <c r="L482">
        <v>20220812103244</v>
      </c>
      <c r="M482" s="1" t="s">
        <v>740</v>
      </c>
      <c r="N482" s="1" t="s">
        <v>84</v>
      </c>
      <c r="O482">
        <v>8</v>
      </c>
      <c r="P482" s="3">
        <v>44785</v>
      </c>
      <c r="Q482">
        <v>32</v>
      </c>
    </row>
    <row r="483" spans="1:17" x14ac:dyDescent="0.3">
      <c r="A483" s="1" t="s">
        <v>735</v>
      </c>
      <c r="B483" s="2">
        <v>44785.439583333333</v>
      </c>
      <c r="C483" s="1" t="s">
        <v>37</v>
      </c>
      <c r="D483" s="1" t="s">
        <v>60</v>
      </c>
      <c r="E483" s="1" t="s">
        <v>61</v>
      </c>
      <c r="F483" s="1" t="s">
        <v>77</v>
      </c>
      <c r="G483" s="1" t="s">
        <v>77</v>
      </c>
      <c r="H483" s="1" t="s">
        <v>77</v>
      </c>
      <c r="I483" s="1" t="s">
        <v>77</v>
      </c>
      <c r="J483" s="1" t="s">
        <v>77</v>
      </c>
      <c r="K483" s="1" t="s">
        <v>77</v>
      </c>
      <c r="L483">
        <v>20220812103253</v>
      </c>
      <c r="M483" s="1" t="s">
        <v>741</v>
      </c>
      <c r="N483" s="1" t="s">
        <v>84</v>
      </c>
      <c r="O483">
        <v>8</v>
      </c>
      <c r="P483" s="3">
        <v>44785</v>
      </c>
      <c r="Q483">
        <v>32</v>
      </c>
    </row>
    <row r="484" spans="1:17" x14ac:dyDescent="0.3">
      <c r="A484" s="1" t="s">
        <v>742</v>
      </c>
      <c r="B484" s="2">
        <v>44785.439583333333</v>
      </c>
      <c r="C484" s="1" t="s">
        <v>37</v>
      </c>
      <c r="D484" s="1" t="s">
        <v>29</v>
      </c>
      <c r="E484" s="1" t="s">
        <v>30</v>
      </c>
      <c r="F484" s="1" t="s">
        <v>77</v>
      </c>
      <c r="G484" s="1" t="s">
        <v>77</v>
      </c>
      <c r="H484" s="1" t="s">
        <v>77</v>
      </c>
      <c r="I484" s="1" t="s">
        <v>77</v>
      </c>
      <c r="J484" s="1" t="s">
        <v>77</v>
      </c>
      <c r="K484" s="1" t="s">
        <v>77</v>
      </c>
      <c r="L484">
        <v>20220812103306</v>
      </c>
      <c r="M484" s="1" t="s">
        <v>743</v>
      </c>
      <c r="N484" s="1" t="s">
        <v>84</v>
      </c>
      <c r="O484">
        <v>8</v>
      </c>
      <c r="P484" s="3">
        <v>44785</v>
      </c>
      <c r="Q484">
        <v>32</v>
      </c>
    </row>
    <row r="485" spans="1:17" x14ac:dyDescent="0.3">
      <c r="A485" s="1" t="s">
        <v>742</v>
      </c>
      <c r="B485" s="2">
        <v>44785.439583333333</v>
      </c>
      <c r="C485" s="1" t="s">
        <v>37</v>
      </c>
      <c r="D485" s="1" t="s">
        <v>29</v>
      </c>
      <c r="E485" s="1" t="s">
        <v>554</v>
      </c>
      <c r="F485" s="1" t="s">
        <v>77</v>
      </c>
      <c r="G485" s="1" t="s">
        <v>77</v>
      </c>
      <c r="H485" s="1" t="s">
        <v>77</v>
      </c>
      <c r="I485" s="1" t="s">
        <v>77</v>
      </c>
      <c r="J485" s="1" t="s">
        <v>77</v>
      </c>
      <c r="K485" s="1" t="s">
        <v>77</v>
      </c>
      <c r="L485">
        <v>20220812103320</v>
      </c>
      <c r="M485" s="1" t="s">
        <v>744</v>
      </c>
      <c r="N485" s="1" t="s">
        <v>84</v>
      </c>
      <c r="O485">
        <v>8</v>
      </c>
      <c r="P485" s="3">
        <v>44785</v>
      </c>
      <c r="Q485">
        <v>32</v>
      </c>
    </row>
    <row r="486" spans="1:17" x14ac:dyDescent="0.3">
      <c r="A486" s="1" t="s">
        <v>742</v>
      </c>
      <c r="B486" s="2">
        <v>44785.439583333333</v>
      </c>
      <c r="C486" s="1" t="s">
        <v>168</v>
      </c>
      <c r="D486" s="1" t="s">
        <v>38</v>
      </c>
      <c r="E486" s="1" t="s">
        <v>77</v>
      </c>
      <c r="F486" s="1" t="s">
        <v>39</v>
      </c>
      <c r="G486" s="1" t="s">
        <v>485</v>
      </c>
      <c r="H486" s="1" t="s">
        <v>77</v>
      </c>
      <c r="I486" s="1" t="s">
        <v>77</v>
      </c>
      <c r="J486" s="1" t="s">
        <v>77</v>
      </c>
      <c r="K486" s="1" t="s">
        <v>77</v>
      </c>
      <c r="L486">
        <v>20220812103329</v>
      </c>
      <c r="M486" s="1" t="s">
        <v>745</v>
      </c>
      <c r="N486" s="1" t="s">
        <v>84</v>
      </c>
      <c r="O486">
        <v>8</v>
      </c>
      <c r="P486" s="3">
        <v>44785</v>
      </c>
      <c r="Q486">
        <v>32</v>
      </c>
    </row>
    <row r="487" spans="1:17" x14ac:dyDescent="0.3">
      <c r="A487" s="1" t="s">
        <v>742</v>
      </c>
      <c r="B487" s="2">
        <v>44785.44027777778</v>
      </c>
      <c r="C487" s="1" t="s">
        <v>168</v>
      </c>
      <c r="D487" s="1" t="s">
        <v>44</v>
      </c>
      <c r="E487" s="1" t="s">
        <v>77</v>
      </c>
      <c r="F487" s="1" t="s">
        <v>45</v>
      </c>
      <c r="G487" s="1" t="s">
        <v>312</v>
      </c>
      <c r="H487" s="1" t="s">
        <v>77</v>
      </c>
      <c r="I487" s="1" t="s">
        <v>77</v>
      </c>
      <c r="J487" s="1" t="s">
        <v>77</v>
      </c>
      <c r="K487" s="1" t="s">
        <v>77</v>
      </c>
      <c r="L487">
        <v>20220812103345</v>
      </c>
      <c r="M487" s="1" t="s">
        <v>746</v>
      </c>
      <c r="N487" s="1" t="s">
        <v>84</v>
      </c>
      <c r="O487">
        <v>8</v>
      </c>
      <c r="P487" s="3">
        <v>44785</v>
      </c>
      <c r="Q487">
        <v>32</v>
      </c>
    </row>
    <row r="488" spans="1:17" x14ac:dyDescent="0.3">
      <c r="A488" s="1" t="s">
        <v>747</v>
      </c>
      <c r="B488" s="2">
        <v>44785.44027777778</v>
      </c>
      <c r="C488" s="1" t="s">
        <v>168</v>
      </c>
      <c r="D488" s="1" t="s">
        <v>53</v>
      </c>
      <c r="E488" s="1" t="s">
        <v>77</v>
      </c>
      <c r="F488" s="1" t="s">
        <v>54</v>
      </c>
      <c r="G488" s="1" t="s">
        <v>748</v>
      </c>
      <c r="H488" s="1" t="s">
        <v>77</v>
      </c>
      <c r="I488" s="1" t="s">
        <v>77</v>
      </c>
      <c r="J488" s="1" t="s">
        <v>77</v>
      </c>
      <c r="K488" s="1" t="s">
        <v>77</v>
      </c>
      <c r="L488">
        <v>20220812103404</v>
      </c>
      <c r="M488" s="1" t="s">
        <v>749</v>
      </c>
      <c r="N488" s="1" t="s">
        <v>84</v>
      </c>
      <c r="O488">
        <v>8</v>
      </c>
      <c r="P488" s="3">
        <v>44785</v>
      </c>
      <c r="Q488">
        <v>32</v>
      </c>
    </row>
    <row r="489" spans="1:17" x14ac:dyDescent="0.3">
      <c r="A489" s="1" t="s">
        <v>747</v>
      </c>
      <c r="B489" s="2">
        <v>44785.44027777778</v>
      </c>
      <c r="C489" s="1" t="s">
        <v>18</v>
      </c>
      <c r="D489" s="1" t="s">
        <v>195</v>
      </c>
      <c r="E489" s="1" t="s">
        <v>77</v>
      </c>
      <c r="F489" s="1" t="s">
        <v>77</v>
      </c>
      <c r="G489" s="1" t="s">
        <v>77</v>
      </c>
      <c r="H489" s="1" t="s">
        <v>77</v>
      </c>
      <c r="I489" s="1" t="s">
        <v>77</v>
      </c>
      <c r="J489" s="1" t="s">
        <v>21</v>
      </c>
      <c r="K489" s="1" t="s">
        <v>331</v>
      </c>
      <c r="L489">
        <v>20220812103423</v>
      </c>
      <c r="M489" s="1" t="s">
        <v>750</v>
      </c>
      <c r="N489" s="1" t="s">
        <v>84</v>
      </c>
      <c r="O489">
        <v>8</v>
      </c>
      <c r="P489" s="3">
        <v>44785</v>
      </c>
      <c r="Q489">
        <v>32</v>
      </c>
    </row>
    <row r="490" spans="1:17" x14ac:dyDescent="0.3">
      <c r="A490" s="1" t="s">
        <v>751</v>
      </c>
      <c r="B490" s="2">
        <v>44786.706944444442</v>
      </c>
      <c r="C490" s="1" t="s">
        <v>37</v>
      </c>
      <c r="D490" s="1" t="s">
        <v>47</v>
      </c>
      <c r="E490" s="1" t="s">
        <v>48</v>
      </c>
      <c r="F490" s="1" t="s">
        <v>77</v>
      </c>
      <c r="G490" s="1" t="s">
        <v>77</v>
      </c>
      <c r="H490" s="1" t="s">
        <v>77</v>
      </c>
      <c r="I490" s="1" t="s">
        <v>77</v>
      </c>
      <c r="J490" s="1" t="s">
        <v>77</v>
      </c>
      <c r="K490" s="1" t="s">
        <v>77</v>
      </c>
      <c r="L490">
        <v>20220813165836</v>
      </c>
      <c r="M490" s="1" t="s">
        <v>752</v>
      </c>
      <c r="N490" s="1" t="s">
        <v>101</v>
      </c>
      <c r="O490">
        <v>8</v>
      </c>
      <c r="P490" s="3">
        <v>44786</v>
      </c>
      <c r="Q490">
        <v>32</v>
      </c>
    </row>
    <row r="491" spans="1:17" x14ac:dyDescent="0.3">
      <c r="A491" s="1" t="s">
        <v>751</v>
      </c>
      <c r="B491" s="2">
        <v>44786.707638888889</v>
      </c>
      <c r="C491" s="1" t="s">
        <v>37</v>
      </c>
      <c r="D491" s="1" t="s">
        <v>47</v>
      </c>
      <c r="E491" s="1" t="s">
        <v>51</v>
      </c>
      <c r="F491" s="1" t="s">
        <v>77</v>
      </c>
      <c r="G491" s="1" t="s">
        <v>77</v>
      </c>
      <c r="H491" s="1" t="s">
        <v>77</v>
      </c>
      <c r="I491" s="1" t="s">
        <v>77</v>
      </c>
      <c r="J491" s="1" t="s">
        <v>77</v>
      </c>
      <c r="K491" s="1" t="s">
        <v>77</v>
      </c>
      <c r="L491">
        <v>20220813165855</v>
      </c>
      <c r="M491" s="1" t="s">
        <v>753</v>
      </c>
      <c r="N491" s="1" t="s">
        <v>101</v>
      </c>
      <c r="O491">
        <v>8</v>
      </c>
      <c r="P491" s="3">
        <v>44786</v>
      </c>
      <c r="Q491">
        <v>32</v>
      </c>
    </row>
    <row r="492" spans="1:17" x14ac:dyDescent="0.3">
      <c r="A492" s="1" t="s">
        <v>754</v>
      </c>
      <c r="B492" s="2">
        <v>44786.707638888889</v>
      </c>
      <c r="C492" s="1" t="s">
        <v>37</v>
      </c>
      <c r="D492" s="1" t="s">
        <v>47</v>
      </c>
      <c r="E492" s="1" t="s">
        <v>536</v>
      </c>
      <c r="F492" s="1" t="s">
        <v>77</v>
      </c>
      <c r="G492" s="1" t="s">
        <v>77</v>
      </c>
      <c r="H492" s="1" t="s">
        <v>77</v>
      </c>
      <c r="I492" s="1" t="s">
        <v>77</v>
      </c>
      <c r="J492" s="1" t="s">
        <v>77</v>
      </c>
      <c r="K492" s="1" t="s">
        <v>77</v>
      </c>
      <c r="L492">
        <v>20220813165904</v>
      </c>
      <c r="M492" s="1" t="s">
        <v>755</v>
      </c>
      <c r="N492" s="1" t="s">
        <v>101</v>
      </c>
      <c r="O492">
        <v>8</v>
      </c>
      <c r="P492" s="3">
        <v>44786</v>
      </c>
      <c r="Q492">
        <v>32</v>
      </c>
    </row>
    <row r="493" spans="1:17" x14ac:dyDescent="0.3">
      <c r="A493" s="1" t="s">
        <v>754</v>
      </c>
      <c r="B493" s="2">
        <v>44786.707638888889</v>
      </c>
      <c r="C493" s="1" t="s">
        <v>37</v>
      </c>
      <c r="D493" s="1" t="s">
        <v>26</v>
      </c>
      <c r="E493" s="1" t="s">
        <v>27</v>
      </c>
      <c r="F493" s="1" t="s">
        <v>77</v>
      </c>
      <c r="G493" s="1" t="s">
        <v>77</v>
      </c>
      <c r="H493" s="1" t="s">
        <v>77</v>
      </c>
      <c r="I493" s="1" t="s">
        <v>77</v>
      </c>
      <c r="J493" s="1" t="s">
        <v>77</v>
      </c>
      <c r="K493" s="1" t="s">
        <v>77</v>
      </c>
      <c r="L493">
        <v>20220813165914</v>
      </c>
      <c r="M493" s="1" t="s">
        <v>756</v>
      </c>
      <c r="N493" s="1" t="s">
        <v>101</v>
      </c>
      <c r="O493">
        <v>8</v>
      </c>
      <c r="P493" s="3">
        <v>44786</v>
      </c>
      <c r="Q493">
        <v>32</v>
      </c>
    </row>
    <row r="494" spans="1:17" x14ac:dyDescent="0.3">
      <c r="A494" s="1" t="s">
        <v>754</v>
      </c>
      <c r="B494" s="2">
        <v>44786.707638888889</v>
      </c>
      <c r="C494" s="1" t="s">
        <v>168</v>
      </c>
      <c r="D494" s="1" t="s">
        <v>38</v>
      </c>
      <c r="E494" s="1" t="s">
        <v>77</v>
      </c>
      <c r="F494" s="1" t="s">
        <v>39</v>
      </c>
      <c r="G494" s="1" t="s">
        <v>485</v>
      </c>
      <c r="H494" s="1" t="s">
        <v>77</v>
      </c>
      <c r="I494" s="1" t="s">
        <v>77</v>
      </c>
      <c r="J494" s="1" t="s">
        <v>77</v>
      </c>
      <c r="K494" s="1" t="s">
        <v>77</v>
      </c>
      <c r="L494">
        <v>20220813165922</v>
      </c>
      <c r="M494" s="1" t="s">
        <v>757</v>
      </c>
      <c r="N494" s="1" t="s">
        <v>101</v>
      </c>
      <c r="O494">
        <v>8</v>
      </c>
      <c r="P494" s="3">
        <v>44786</v>
      </c>
      <c r="Q494">
        <v>32</v>
      </c>
    </row>
    <row r="495" spans="1:17" x14ac:dyDescent="0.3">
      <c r="A495" s="1" t="s">
        <v>754</v>
      </c>
      <c r="B495" s="2">
        <v>44786.707638888889</v>
      </c>
      <c r="C495" s="1" t="s">
        <v>168</v>
      </c>
      <c r="D495" s="1" t="s">
        <v>53</v>
      </c>
      <c r="E495" s="1" t="s">
        <v>77</v>
      </c>
      <c r="F495" s="1" t="s">
        <v>54</v>
      </c>
      <c r="G495" s="1" t="s">
        <v>748</v>
      </c>
      <c r="H495" s="1" t="s">
        <v>77</v>
      </c>
      <c r="I495" s="1" t="s">
        <v>77</v>
      </c>
      <c r="J495" s="1" t="s">
        <v>77</v>
      </c>
      <c r="K495" s="1" t="s">
        <v>77</v>
      </c>
      <c r="L495">
        <v>20220813165936</v>
      </c>
      <c r="M495" s="1" t="s">
        <v>758</v>
      </c>
      <c r="N495" s="1" t="s">
        <v>101</v>
      </c>
      <c r="O495">
        <v>8</v>
      </c>
      <c r="P495" s="3">
        <v>44786</v>
      </c>
      <c r="Q495">
        <v>32</v>
      </c>
    </row>
    <row r="496" spans="1:17" x14ac:dyDescent="0.3">
      <c r="A496" s="1" t="s">
        <v>754</v>
      </c>
      <c r="B496" s="2">
        <v>44786.708333333336</v>
      </c>
      <c r="C496" s="1" t="s">
        <v>168</v>
      </c>
      <c r="D496" s="1" t="s">
        <v>44</v>
      </c>
      <c r="E496" s="1" t="s">
        <v>77</v>
      </c>
      <c r="F496" s="1" t="s">
        <v>45</v>
      </c>
      <c r="G496" s="1" t="s">
        <v>312</v>
      </c>
      <c r="H496" s="1" t="s">
        <v>77</v>
      </c>
      <c r="I496" s="1" t="s">
        <v>77</v>
      </c>
      <c r="J496" s="1" t="s">
        <v>77</v>
      </c>
      <c r="K496" s="1" t="s">
        <v>77</v>
      </c>
      <c r="L496">
        <v>20220813165950</v>
      </c>
      <c r="M496" s="1" t="s">
        <v>759</v>
      </c>
      <c r="N496" s="1" t="s">
        <v>101</v>
      </c>
      <c r="O496">
        <v>8</v>
      </c>
      <c r="P496" s="3">
        <v>44786</v>
      </c>
      <c r="Q496">
        <v>32</v>
      </c>
    </row>
    <row r="497" spans="1:17" x14ac:dyDescent="0.3">
      <c r="A497" s="1" t="s">
        <v>760</v>
      </c>
      <c r="B497" s="2">
        <v>44786.708333333336</v>
      </c>
      <c r="C497" s="1" t="s">
        <v>18</v>
      </c>
      <c r="D497" s="1" t="s">
        <v>29</v>
      </c>
      <c r="E497" s="1" t="s">
        <v>77</v>
      </c>
      <c r="F497" s="1" t="s">
        <v>77</v>
      </c>
      <c r="G497" s="1" t="s">
        <v>77</v>
      </c>
      <c r="H497" s="1" t="s">
        <v>77</v>
      </c>
      <c r="I497" s="1" t="s">
        <v>77</v>
      </c>
      <c r="J497" s="1" t="s">
        <v>30</v>
      </c>
      <c r="K497" s="1" t="s">
        <v>523</v>
      </c>
      <c r="L497">
        <v>20220813170005</v>
      </c>
      <c r="M497" s="1" t="s">
        <v>761</v>
      </c>
      <c r="N497" s="1" t="s">
        <v>101</v>
      </c>
      <c r="O497">
        <v>8</v>
      </c>
      <c r="P497" s="3">
        <v>44786</v>
      </c>
      <c r="Q497">
        <v>32</v>
      </c>
    </row>
    <row r="498" spans="1:17" x14ac:dyDescent="0.3">
      <c r="A498" s="1" t="s">
        <v>760</v>
      </c>
      <c r="B498" s="2">
        <v>44786.708333333336</v>
      </c>
      <c r="C498" s="1" t="s">
        <v>18</v>
      </c>
      <c r="D498" s="1" t="s">
        <v>29</v>
      </c>
      <c r="E498" s="1" t="s">
        <v>77</v>
      </c>
      <c r="F498" s="1" t="s">
        <v>77</v>
      </c>
      <c r="G498" s="1" t="s">
        <v>77</v>
      </c>
      <c r="H498" s="1" t="s">
        <v>77</v>
      </c>
      <c r="I498" s="1" t="s">
        <v>77</v>
      </c>
      <c r="J498" s="1" t="s">
        <v>554</v>
      </c>
      <c r="K498" s="1" t="s">
        <v>523</v>
      </c>
      <c r="L498">
        <v>20220813170027</v>
      </c>
      <c r="M498" s="1" t="s">
        <v>762</v>
      </c>
      <c r="N498" s="1" t="s">
        <v>101</v>
      </c>
      <c r="O498">
        <v>8</v>
      </c>
      <c r="P498" s="3">
        <v>44786</v>
      </c>
      <c r="Q498">
        <v>32</v>
      </c>
    </row>
    <row r="499" spans="1:17" x14ac:dyDescent="0.3">
      <c r="A499" s="1" t="s">
        <v>760</v>
      </c>
      <c r="B499" s="2">
        <v>44786.709027777775</v>
      </c>
      <c r="C499" s="1" t="s">
        <v>18</v>
      </c>
      <c r="D499" s="1" t="s">
        <v>60</v>
      </c>
      <c r="E499" s="1" t="s">
        <v>77</v>
      </c>
      <c r="F499" s="1" t="s">
        <v>77</v>
      </c>
      <c r="G499" s="1" t="s">
        <v>77</v>
      </c>
      <c r="H499" s="1" t="s">
        <v>77</v>
      </c>
      <c r="I499" s="1" t="s">
        <v>77</v>
      </c>
      <c r="J499" s="1" t="s">
        <v>61</v>
      </c>
      <c r="K499" s="1" t="s">
        <v>763</v>
      </c>
      <c r="L499">
        <v>20220813170050</v>
      </c>
      <c r="M499" s="1" t="s">
        <v>764</v>
      </c>
      <c r="N499" s="1" t="s">
        <v>101</v>
      </c>
      <c r="O499">
        <v>8</v>
      </c>
      <c r="P499" s="3">
        <v>44786</v>
      </c>
      <c r="Q499">
        <v>32</v>
      </c>
    </row>
    <row r="500" spans="1:17" x14ac:dyDescent="0.3">
      <c r="A500" s="1" t="s">
        <v>765</v>
      </c>
      <c r="B500" s="2">
        <v>44786.709722222222</v>
      </c>
      <c r="C500" s="1" t="s">
        <v>18</v>
      </c>
      <c r="D500" s="1" t="s">
        <v>19</v>
      </c>
      <c r="E500" s="1" t="s">
        <v>77</v>
      </c>
      <c r="F500" s="1" t="s">
        <v>77</v>
      </c>
      <c r="G500" s="1" t="s">
        <v>77</v>
      </c>
      <c r="H500" s="1" t="s">
        <v>77</v>
      </c>
      <c r="I500" s="1" t="s">
        <v>77</v>
      </c>
      <c r="J500" s="1" t="s">
        <v>58</v>
      </c>
      <c r="K500" s="1" t="s">
        <v>309</v>
      </c>
      <c r="L500">
        <v>20220813170154</v>
      </c>
      <c r="M500" s="1" t="s">
        <v>766</v>
      </c>
      <c r="N500" s="1" t="s">
        <v>101</v>
      </c>
      <c r="O500">
        <v>8</v>
      </c>
      <c r="P500" s="3">
        <v>44786</v>
      </c>
      <c r="Q500">
        <v>32</v>
      </c>
    </row>
    <row r="501" spans="1:17" x14ac:dyDescent="0.3">
      <c r="A501" s="1" t="s">
        <v>767</v>
      </c>
      <c r="B501" s="2">
        <v>44786.709722222222</v>
      </c>
      <c r="C501" s="1" t="s">
        <v>18</v>
      </c>
      <c r="D501" s="1" t="s">
        <v>195</v>
      </c>
      <c r="E501" s="1" t="s">
        <v>77</v>
      </c>
      <c r="F501" s="1" t="s">
        <v>77</v>
      </c>
      <c r="G501" s="1" t="s">
        <v>77</v>
      </c>
      <c r="H501" s="1" t="s">
        <v>77</v>
      </c>
      <c r="I501" s="1" t="s">
        <v>77</v>
      </c>
      <c r="J501" s="1" t="s">
        <v>21</v>
      </c>
      <c r="K501" s="1" t="s">
        <v>331</v>
      </c>
      <c r="L501">
        <v>20220813170205</v>
      </c>
      <c r="M501" s="1" t="s">
        <v>768</v>
      </c>
      <c r="N501" s="1" t="s">
        <v>101</v>
      </c>
      <c r="O501">
        <v>8</v>
      </c>
      <c r="P501" s="3">
        <v>44786</v>
      </c>
      <c r="Q501">
        <v>32</v>
      </c>
    </row>
    <row r="502" spans="1:17" x14ac:dyDescent="0.3">
      <c r="A502" s="1" t="s">
        <v>767</v>
      </c>
      <c r="B502" s="2">
        <v>44786.709722222222</v>
      </c>
      <c r="C502" s="1" t="s">
        <v>37</v>
      </c>
      <c r="D502" s="1" t="s">
        <v>41</v>
      </c>
      <c r="E502" s="1" t="s">
        <v>42</v>
      </c>
      <c r="F502" s="1" t="s">
        <v>77</v>
      </c>
      <c r="G502" s="1" t="s">
        <v>77</v>
      </c>
      <c r="H502" s="1" t="s">
        <v>77</v>
      </c>
      <c r="I502" s="1" t="s">
        <v>77</v>
      </c>
      <c r="J502" s="1" t="s">
        <v>77</v>
      </c>
      <c r="K502" s="1" t="s">
        <v>77</v>
      </c>
      <c r="L502">
        <v>20220813170247</v>
      </c>
      <c r="M502" s="1" t="s">
        <v>769</v>
      </c>
      <c r="N502" s="1" t="s">
        <v>101</v>
      </c>
      <c r="O502">
        <v>8</v>
      </c>
      <c r="P502" s="3">
        <v>44786</v>
      </c>
      <c r="Q502">
        <v>32</v>
      </c>
    </row>
    <row r="503" spans="1:17" x14ac:dyDescent="0.3">
      <c r="A503" s="1" t="s">
        <v>767</v>
      </c>
      <c r="B503" s="2">
        <v>44786.710416666669</v>
      </c>
      <c r="C503" s="1" t="s">
        <v>37</v>
      </c>
      <c r="D503" s="1" t="s">
        <v>53</v>
      </c>
      <c r="E503" s="1" t="s">
        <v>56</v>
      </c>
      <c r="F503" s="1" t="s">
        <v>77</v>
      </c>
      <c r="G503" s="1" t="s">
        <v>77</v>
      </c>
      <c r="H503" s="1" t="s">
        <v>77</v>
      </c>
      <c r="I503" s="1" t="s">
        <v>77</v>
      </c>
      <c r="J503" s="1" t="s">
        <v>77</v>
      </c>
      <c r="K503" s="1" t="s">
        <v>77</v>
      </c>
      <c r="L503">
        <v>20220813170257</v>
      </c>
      <c r="M503" s="1" t="s">
        <v>770</v>
      </c>
      <c r="N503" s="1" t="s">
        <v>101</v>
      </c>
      <c r="O503">
        <v>8</v>
      </c>
      <c r="P503" s="3">
        <v>44786</v>
      </c>
      <c r="Q503">
        <v>32</v>
      </c>
    </row>
    <row r="504" spans="1:17" x14ac:dyDescent="0.3">
      <c r="A504" s="1" t="s">
        <v>771</v>
      </c>
      <c r="B504" s="2">
        <v>44788.422222222223</v>
      </c>
      <c r="C504" s="1" t="s">
        <v>37</v>
      </c>
      <c r="D504" s="1" t="s">
        <v>26</v>
      </c>
      <c r="E504" s="1" t="s">
        <v>27</v>
      </c>
      <c r="F504" s="1" t="s">
        <v>77</v>
      </c>
      <c r="G504" s="1" t="s">
        <v>77</v>
      </c>
      <c r="H504" s="1" t="s">
        <v>77</v>
      </c>
      <c r="I504" s="1" t="s">
        <v>77</v>
      </c>
      <c r="J504" s="1" t="s">
        <v>77</v>
      </c>
      <c r="K504" s="1" t="s">
        <v>77</v>
      </c>
      <c r="L504">
        <v>20220815100803</v>
      </c>
      <c r="M504" s="1" t="s">
        <v>772</v>
      </c>
      <c r="N504" s="1" t="s">
        <v>120</v>
      </c>
      <c r="O504">
        <v>8</v>
      </c>
      <c r="P504" s="3">
        <v>44788</v>
      </c>
      <c r="Q504">
        <v>33</v>
      </c>
    </row>
    <row r="505" spans="1:17" x14ac:dyDescent="0.3">
      <c r="A505" s="1" t="s">
        <v>771</v>
      </c>
      <c r="B505" s="2">
        <v>44788.422222222223</v>
      </c>
      <c r="C505" s="1" t="s">
        <v>37</v>
      </c>
      <c r="D505" s="1" t="s">
        <v>195</v>
      </c>
      <c r="E505" s="1" t="s">
        <v>21</v>
      </c>
      <c r="F505" s="1" t="s">
        <v>77</v>
      </c>
      <c r="G505" s="1" t="s">
        <v>77</v>
      </c>
      <c r="H505" s="1" t="s">
        <v>77</v>
      </c>
      <c r="I505" s="1" t="s">
        <v>77</v>
      </c>
      <c r="J505" s="1" t="s">
        <v>77</v>
      </c>
      <c r="K505" s="1" t="s">
        <v>77</v>
      </c>
      <c r="L505">
        <v>20220815100818</v>
      </c>
      <c r="M505" s="1" t="s">
        <v>773</v>
      </c>
      <c r="N505" s="1" t="s">
        <v>120</v>
      </c>
      <c r="O505">
        <v>8</v>
      </c>
      <c r="P505" s="3">
        <v>44788</v>
      </c>
      <c r="Q505">
        <v>33</v>
      </c>
    </row>
    <row r="506" spans="1:17" x14ac:dyDescent="0.3">
      <c r="A506" s="1" t="s">
        <v>771</v>
      </c>
      <c r="B506" s="2">
        <v>44788.422222222223</v>
      </c>
      <c r="C506" s="1" t="s">
        <v>37</v>
      </c>
      <c r="D506" s="1" t="s">
        <v>41</v>
      </c>
      <c r="E506" s="1" t="s">
        <v>42</v>
      </c>
      <c r="F506" s="1" t="s">
        <v>77</v>
      </c>
      <c r="G506" s="1" t="s">
        <v>77</v>
      </c>
      <c r="H506" s="1" t="s">
        <v>77</v>
      </c>
      <c r="I506" s="1" t="s">
        <v>77</v>
      </c>
      <c r="J506" s="1" t="s">
        <v>77</v>
      </c>
      <c r="K506" s="1" t="s">
        <v>77</v>
      </c>
      <c r="L506">
        <v>20220815100826</v>
      </c>
      <c r="M506" s="1" t="s">
        <v>774</v>
      </c>
      <c r="N506" s="1" t="s">
        <v>120</v>
      </c>
      <c r="O506">
        <v>8</v>
      </c>
      <c r="P506" s="3">
        <v>44788</v>
      </c>
      <c r="Q506">
        <v>33</v>
      </c>
    </row>
    <row r="507" spans="1:17" x14ac:dyDescent="0.3">
      <c r="A507" s="1" t="s">
        <v>771</v>
      </c>
      <c r="B507" s="2">
        <v>44788.422222222223</v>
      </c>
      <c r="C507" s="1" t="s">
        <v>37</v>
      </c>
      <c r="D507" s="1" t="s">
        <v>44</v>
      </c>
      <c r="E507" s="1" t="s">
        <v>45</v>
      </c>
      <c r="F507" s="1" t="s">
        <v>77</v>
      </c>
      <c r="G507" s="1" t="s">
        <v>77</v>
      </c>
      <c r="H507" s="1" t="s">
        <v>77</v>
      </c>
      <c r="I507" s="1" t="s">
        <v>77</v>
      </c>
      <c r="J507" s="1" t="s">
        <v>77</v>
      </c>
      <c r="K507" s="1" t="s">
        <v>77</v>
      </c>
      <c r="L507">
        <v>20220815100836</v>
      </c>
      <c r="M507" s="1" t="s">
        <v>775</v>
      </c>
      <c r="N507" s="1" t="s">
        <v>120</v>
      </c>
      <c r="O507">
        <v>8</v>
      </c>
      <c r="P507" s="3">
        <v>44788</v>
      </c>
      <c r="Q507">
        <v>33</v>
      </c>
    </row>
    <row r="508" spans="1:17" x14ac:dyDescent="0.3">
      <c r="A508" s="1" t="s">
        <v>776</v>
      </c>
      <c r="B508" s="2">
        <v>44788.42291666667</v>
      </c>
      <c r="C508" s="1" t="s">
        <v>37</v>
      </c>
      <c r="D508" s="1" t="s">
        <v>47</v>
      </c>
      <c r="E508" s="1" t="s">
        <v>51</v>
      </c>
      <c r="F508" s="1" t="s">
        <v>77</v>
      </c>
      <c r="G508" s="1" t="s">
        <v>77</v>
      </c>
      <c r="H508" s="1" t="s">
        <v>77</v>
      </c>
      <c r="I508" s="1" t="s">
        <v>77</v>
      </c>
      <c r="J508" s="1" t="s">
        <v>77</v>
      </c>
      <c r="K508" s="1" t="s">
        <v>77</v>
      </c>
      <c r="L508">
        <v>20220815100902</v>
      </c>
      <c r="M508" s="1" t="s">
        <v>777</v>
      </c>
      <c r="N508" s="1" t="s">
        <v>120</v>
      </c>
      <c r="O508">
        <v>8</v>
      </c>
      <c r="P508" s="3">
        <v>44788</v>
      </c>
      <c r="Q508">
        <v>33</v>
      </c>
    </row>
    <row r="509" spans="1:17" x14ac:dyDescent="0.3">
      <c r="A509" s="1" t="s">
        <v>776</v>
      </c>
      <c r="B509" s="2">
        <v>44788.42291666667</v>
      </c>
      <c r="C509" s="1" t="s">
        <v>37</v>
      </c>
      <c r="D509" s="1" t="s">
        <v>47</v>
      </c>
      <c r="E509" s="1" t="s">
        <v>536</v>
      </c>
      <c r="F509" s="1" t="s">
        <v>77</v>
      </c>
      <c r="G509" s="1" t="s">
        <v>77</v>
      </c>
      <c r="H509" s="1" t="s">
        <v>77</v>
      </c>
      <c r="I509" s="1" t="s">
        <v>77</v>
      </c>
      <c r="J509" s="1" t="s">
        <v>77</v>
      </c>
      <c r="K509" s="1" t="s">
        <v>77</v>
      </c>
      <c r="L509">
        <v>20220815100913</v>
      </c>
      <c r="M509" s="1" t="s">
        <v>778</v>
      </c>
      <c r="N509" s="1" t="s">
        <v>120</v>
      </c>
      <c r="O509">
        <v>8</v>
      </c>
      <c r="P509" s="3">
        <v>44788</v>
      </c>
      <c r="Q509">
        <v>33</v>
      </c>
    </row>
    <row r="510" spans="1:17" x14ac:dyDescent="0.3">
      <c r="A510" s="1" t="s">
        <v>776</v>
      </c>
      <c r="B510" s="2">
        <v>44788.42291666667</v>
      </c>
      <c r="C510" s="1" t="s">
        <v>37</v>
      </c>
      <c r="D510" s="1" t="s">
        <v>53</v>
      </c>
      <c r="E510" s="1" t="s">
        <v>54</v>
      </c>
      <c r="F510" s="1" t="s">
        <v>77</v>
      </c>
      <c r="G510" s="1" t="s">
        <v>77</v>
      </c>
      <c r="H510" s="1" t="s">
        <v>77</v>
      </c>
      <c r="I510" s="1" t="s">
        <v>77</v>
      </c>
      <c r="J510" s="1" t="s">
        <v>77</v>
      </c>
      <c r="K510" s="1" t="s">
        <v>77</v>
      </c>
      <c r="L510">
        <v>20220815100921</v>
      </c>
      <c r="M510" s="1" t="s">
        <v>779</v>
      </c>
      <c r="N510" s="1" t="s">
        <v>120</v>
      </c>
      <c r="O510">
        <v>8</v>
      </c>
      <c r="P510" s="3">
        <v>44788</v>
      </c>
      <c r="Q510">
        <v>33</v>
      </c>
    </row>
    <row r="511" spans="1:17" x14ac:dyDescent="0.3">
      <c r="A511" s="1" t="s">
        <v>776</v>
      </c>
      <c r="B511" s="2">
        <v>44788.42291666667</v>
      </c>
      <c r="C511" s="1" t="s">
        <v>37</v>
      </c>
      <c r="D511" s="1" t="s">
        <v>19</v>
      </c>
      <c r="E511" s="1" t="s">
        <v>58</v>
      </c>
      <c r="F511" s="1" t="s">
        <v>77</v>
      </c>
      <c r="G511" s="1" t="s">
        <v>77</v>
      </c>
      <c r="H511" s="1" t="s">
        <v>77</v>
      </c>
      <c r="I511" s="1" t="s">
        <v>77</v>
      </c>
      <c r="J511" s="1" t="s">
        <v>77</v>
      </c>
      <c r="K511" s="1" t="s">
        <v>77</v>
      </c>
      <c r="L511">
        <v>20220815100930</v>
      </c>
      <c r="M511" s="1" t="s">
        <v>780</v>
      </c>
      <c r="N511" s="1" t="s">
        <v>120</v>
      </c>
      <c r="O511">
        <v>8</v>
      </c>
      <c r="P511" s="3">
        <v>44788</v>
      </c>
      <c r="Q511">
        <v>33</v>
      </c>
    </row>
    <row r="512" spans="1:17" x14ac:dyDescent="0.3">
      <c r="A512" s="1" t="s">
        <v>776</v>
      </c>
      <c r="B512" s="2">
        <v>44788.42291666667</v>
      </c>
      <c r="C512" s="1" t="s">
        <v>37</v>
      </c>
      <c r="D512" s="1" t="s">
        <v>60</v>
      </c>
      <c r="E512" s="1" t="s">
        <v>61</v>
      </c>
      <c r="F512" s="1" t="s">
        <v>77</v>
      </c>
      <c r="G512" s="1" t="s">
        <v>77</v>
      </c>
      <c r="H512" s="1" t="s">
        <v>77</v>
      </c>
      <c r="I512" s="1" t="s">
        <v>77</v>
      </c>
      <c r="J512" s="1" t="s">
        <v>77</v>
      </c>
      <c r="K512" s="1" t="s">
        <v>77</v>
      </c>
      <c r="L512">
        <v>20220815100953</v>
      </c>
      <c r="M512" s="1" t="s">
        <v>781</v>
      </c>
      <c r="N512" s="1" t="s">
        <v>120</v>
      </c>
      <c r="O512">
        <v>8</v>
      </c>
      <c r="P512" s="3">
        <v>44788</v>
      </c>
      <c r="Q512">
        <v>33</v>
      </c>
    </row>
    <row r="513" spans="1:17" x14ac:dyDescent="0.3">
      <c r="A513" s="1" t="s">
        <v>782</v>
      </c>
      <c r="B513" s="2">
        <v>44788.423611111109</v>
      </c>
      <c r="C513" s="1" t="s">
        <v>37</v>
      </c>
      <c r="D513" s="1" t="s">
        <v>29</v>
      </c>
      <c r="E513" s="1" t="s">
        <v>30</v>
      </c>
      <c r="F513" s="1" t="s">
        <v>77</v>
      </c>
      <c r="G513" s="1" t="s">
        <v>77</v>
      </c>
      <c r="H513" s="1" t="s">
        <v>77</v>
      </c>
      <c r="I513" s="1" t="s">
        <v>77</v>
      </c>
      <c r="J513" s="1" t="s">
        <v>77</v>
      </c>
      <c r="K513" s="1" t="s">
        <v>77</v>
      </c>
      <c r="L513">
        <v>20220815101002</v>
      </c>
      <c r="M513" s="1" t="s">
        <v>783</v>
      </c>
      <c r="N513" s="1" t="s">
        <v>120</v>
      </c>
      <c r="O513">
        <v>8</v>
      </c>
      <c r="P513" s="3">
        <v>44788</v>
      </c>
      <c r="Q513">
        <v>33</v>
      </c>
    </row>
    <row r="514" spans="1:17" x14ac:dyDescent="0.3">
      <c r="A514" s="1" t="s">
        <v>782</v>
      </c>
      <c r="B514" s="2">
        <v>44788.423611111109</v>
      </c>
      <c r="C514" s="1" t="s">
        <v>37</v>
      </c>
      <c r="D514" s="1" t="s">
        <v>29</v>
      </c>
      <c r="E514" s="1" t="s">
        <v>554</v>
      </c>
      <c r="F514" s="1" t="s">
        <v>77</v>
      </c>
      <c r="G514" s="1" t="s">
        <v>77</v>
      </c>
      <c r="H514" s="1" t="s">
        <v>77</v>
      </c>
      <c r="I514" s="1" t="s">
        <v>77</v>
      </c>
      <c r="J514" s="1" t="s">
        <v>77</v>
      </c>
      <c r="K514" s="1" t="s">
        <v>77</v>
      </c>
      <c r="L514">
        <v>20220815101011</v>
      </c>
      <c r="M514" s="1" t="s">
        <v>784</v>
      </c>
      <c r="N514" s="1" t="s">
        <v>120</v>
      </c>
      <c r="O514">
        <v>8</v>
      </c>
      <c r="P514" s="3">
        <v>44788</v>
      </c>
      <c r="Q514">
        <v>33</v>
      </c>
    </row>
    <row r="515" spans="1:17" x14ac:dyDescent="0.3">
      <c r="A515" s="1" t="s">
        <v>782</v>
      </c>
      <c r="B515" s="2">
        <v>44788.423611111109</v>
      </c>
      <c r="C515" s="1" t="s">
        <v>168</v>
      </c>
      <c r="D515" s="1" t="s">
        <v>38</v>
      </c>
      <c r="E515" s="1" t="s">
        <v>77</v>
      </c>
      <c r="F515" s="1" t="s">
        <v>39</v>
      </c>
      <c r="G515" s="1" t="s">
        <v>485</v>
      </c>
      <c r="H515" s="1" t="s">
        <v>77</v>
      </c>
      <c r="I515" s="1" t="s">
        <v>77</v>
      </c>
      <c r="J515" s="1" t="s">
        <v>77</v>
      </c>
      <c r="K515" s="1" t="s">
        <v>77</v>
      </c>
      <c r="L515">
        <v>20220815101019</v>
      </c>
      <c r="M515" s="1" t="s">
        <v>785</v>
      </c>
      <c r="N515" s="1" t="s">
        <v>120</v>
      </c>
      <c r="O515">
        <v>8</v>
      </c>
      <c r="P515" s="3">
        <v>44788</v>
      </c>
      <c r="Q515">
        <v>33</v>
      </c>
    </row>
    <row r="516" spans="1:17" x14ac:dyDescent="0.3">
      <c r="A516" s="1" t="s">
        <v>782</v>
      </c>
      <c r="B516" s="2">
        <v>44788.423611111109</v>
      </c>
      <c r="C516" s="1" t="s">
        <v>18</v>
      </c>
      <c r="D516" s="1" t="s">
        <v>53</v>
      </c>
      <c r="E516" s="1" t="s">
        <v>20</v>
      </c>
      <c r="F516" s="1" t="s">
        <v>77</v>
      </c>
      <c r="G516" s="1" t="s">
        <v>77</v>
      </c>
      <c r="H516" s="1" t="s">
        <v>77</v>
      </c>
      <c r="I516" s="1" t="s">
        <v>77</v>
      </c>
      <c r="J516" s="1" t="s">
        <v>56</v>
      </c>
      <c r="K516" s="1" t="s">
        <v>197</v>
      </c>
      <c r="L516">
        <v>20220815101050</v>
      </c>
      <c r="M516" s="1" t="s">
        <v>786</v>
      </c>
      <c r="N516" s="1" t="s">
        <v>120</v>
      </c>
      <c r="O516">
        <v>8</v>
      </c>
      <c r="P516" s="3">
        <v>44788</v>
      </c>
      <c r="Q516">
        <v>33</v>
      </c>
    </row>
    <row r="517" spans="1:17" x14ac:dyDescent="0.3">
      <c r="A517" s="1" t="s">
        <v>782</v>
      </c>
      <c r="B517" s="2">
        <v>44788.423611111109</v>
      </c>
      <c r="C517" s="1" t="s">
        <v>37</v>
      </c>
      <c r="D517" s="1" t="s">
        <v>47</v>
      </c>
      <c r="E517" s="1" t="s">
        <v>48</v>
      </c>
      <c r="F517" s="1" t="s">
        <v>77</v>
      </c>
      <c r="G517" s="1" t="s">
        <v>77</v>
      </c>
      <c r="H517" s="1" t="s">
        <v>77</v>
      </c>
      <c r="I517" s="1" t="s">
        <v>77</v>
      </c>
      <c r="J517" s="1" t="s">
        <v>20</v>
      </c>
      <c r="K517" s="1" t="s">
        <v>20</v>
      </c>
      <c r="L517">
        <v>20220815101030</v>
      </c>
      <c r="M517" s="1" t="s">
        <v>787</v>
      </c>
      <c r="N517" s="1" t="s">
        <v>120</v>
      </c>
      <c r="O517">
        <v>8</v>
      </c>
      <c r="P517" s="3">
        <v>44788</v>
      </c>
      <c r="Q517">
        <v>33</v>
      </c>
    </row>
    <row r="518" spans="1:17" x14ac:dyDescent="0.3">
      <c r="A518" s="1" t="s">
        <v>788</v>
      </c>
      <c r="B518" s="2">
        <v>44789.412499999999</v>
      </c>
      <c r="C518" s="1" t="s">
        <v>168</v>
      </c>
      <c r="D518" s="1" t="s">
        <v>38</v>
      </c>
      <c r="E518" s="1" t="s">
        <v>77</v>
      </c>
      <c r="F518" s="1" t="s">
        <v>39</v>
      </c>
      <c r="G518" s="1" t="s">
        <v>485</v>
      </c>
      <c r="H518" s="1" t="s">
        <v>77</v>
      </c>
      <c r="I518" s="1" t="s">
        <v>77</v>
      </c>
      <c r="J518" s="1" t="s">
        <v>77</v>
      </c>
      <c r="K518" s="1" t="s">
        <v>77</v>
      </c>
      <c r="L518">
        <v>20220816095407</v>
      </c>
      <c r="M518" s="1" t="s">
        <v>789</v>
      </c>
      <c r="N518" s="1" t="s">
        <v>140</v>
      </c>
      <c r="O518">
        <v>8</v>
      </c>
      <c r="P518" s="3">
        <v>44789</v>
      </c>
      <c r="Q518">
        <v>33</v>
      </c>
    </row>
    <row r="519" spans="1:17" x14ac:dyDescent="0.3">
      <c r="A519" s="1" t="s">
        <v>788</v>
      </c>
      <c r="B519" s="2">
        <v>44789.412499999999</v>
      </c>
      <c r="C519" s="1" t="s">
        <v>37</v>
      </c>
      <c r="D519" s="1" t="s">
        <v>26</v>
      </c>
      <c r="E519" s="1" t="s">
        <v>27</v>
      </c>
      <c r="F519" s="1" t="s">
        <v>77</v>
      </c>
      <c r="G519" s="1" t="s">
        <v>77</v>
      </c>
      <c r="H519" s="1" t="s">
        <v>77</v>
      </c>
      <c r="I519" s="1" t="s">
        <v>77</v>
      </c>
      <c r="J519" s="1" t="s">
        <v>77</v>
      </c>
      <c r="K519" s="1" t="s">
        <v>77</v>
      </c>
      <c r="L519">
        <v>20220816095423</v>
      </c>
      <c r="M519" s="1" t="s">
        <v>790</v>
      </c>
      <c r="N519" s="1" t="s">
        <v>140</v>
      </c>
      <c r="O519">
        <v>8</v>
      </c>
      <c r="P519" s="3">
        <v>44789</v>
      </c>
      <c r="Q519">
        <v>33</v>
      </c>
    </row>
    <row r="520" spans="1:17" x14ac:dyDescent="0.3">
      <c r="A520" s="1" t="s">
        <v>788</v>
      </c>
      <c r="B520" s="2">
        <v>44789.412499999999</v>
      </c>
      <c r="C520" s="1" t="s">
        <v>37</v>
      </c>
      <c r="D520" s="1" t="s">
        <v>195</v>
      </c>
      <c r="E520" s="1" t="s">
        <v>21</v>
      </c>
      <c r="F520" s="1" t="s">
        <v>77</v>
      </c>
      <c r="G520" s="1" t="s">
        <v>77</v>
      </c>
      <c r="H520" s="1" t="s">
        <v>77</v>
      </c>
      <c r="I520" s="1" t="s">
        <v>77</v>
      </c>
      <c r="J520" s="1" t="s">
        <v>77</v>
      </c>
      <c r="K520" s="1" t="s">
        <v>77</v>
      </c>
      <c r="L520">
        <v>20220816095436</v>
      </c>
      <c r="M520" s="1" t="s">
        <v>791</v>
      </c>
      <c r="N520" s="1" t="s">
        <v>140</v>
      </c>
      <c r="O520">
        <v>8</v>
      </c>
      <c r="P520" s="3">
        <v>44789</v>
      </c>
      <c r="Q520">
        <v>33</v>
      </c>
    </row>
    <row r="521" spans="1:17" x14ac:dyDescent="0.3">
      <c r="A521" s="1" t="s">
        <v>788</v>
      </c>
      <c r="B521" s="2">
        <v>44789.412499999999</v>
      </c>
      <c r="C521" s="1" t="s">
        <v>37</v>
      </c>
      <c r="D521" s="1" t="s">
        <v>41</v>
      </c>
      <c r="E521" s="1" t="s">
        <v>42</v>
      </c>
      <c r="F521" s="1" t="s">
        <v>77</v>
      </c>
      <c r="G521" s="1" t="s">
        <v>77</v>
      </c>
      <c r="H521" s="1" t="s">
        <v>77</v>
      </c>
      <c r="I521" s="1" t="s">
        <v>77</v>
      </c>
      <c r="J521" s="1" t="s">
        <v>77</v>
      </c>
      <c r="K521" s="1" t="s">
        <v>77</v>
      </c>
      <c r="L521">
        <v>20220816095444</v>
      </c>
      <c r="M521" s="1" t="s">
        <v>792</v>
      </c>
      <c r="N521" s="1" t="s">
        <v>140</v>
      </c>
      <c r="O521">
        <v>8</v>
      </c>
      <c r="P521" s="3">
        <v>44789</v>
      </c>
      <c r="Q521">
        <v>33</v>
      </c>
    </row>
    <row r="522" spans="1:17" x14ac:dyDescent="0.3">
      <c r="A522" s="1" t="s">
        <v>788</v>
      </c>
      <c r="B522" s="2">
        <v>44789.412499999999</v>
      </c>
      <c r="C522" s="1" t="s">
        <v>37</v>
      </c>
      <c r="D522" s="1" t="s">
        <v>44</v>
      </c>
      <c r="E522" s="1" t="s">
        <v>45</v>
      </c>
      <c r="F522" s="1" t="s">
        <v>77</v>
      </c>
      <c r="G522" s="1" t="s">
        <v>77</v>
      </c>
      <c r="H522" s="1" t="s">
        <v>77</v>
      </c>
      <c r="I522" s="1" t="s">
        <v>77</v>
      </c>
      <c r="J522" s="1" t="s">
        <v>77</v>
      </c>
      <c r="K522" s="1" t="s">
        <v>77</v>
      </c>
      <c r="L522">
        <v>20220816095451</v>
      </c>
      <c r="M522" s="1" t="s">
        <v>793</v>
      </c>
      <c r="N522" s="1" t="s">
        <v>140</v>
      </c>
      <c r="O522">
        <v>8</v>
      </c>
      <c r="P522" s="3">
        <v>44789</v>
      </c>
      <c r="Q522">
        <v>33</v>
      </c>
    </row>
    <row r="523" spans="1:17" x14ac:dyDescent="0.3">
      <c r="A523" s="1" t="s">
        <v>788</v>
      </c>
      <c r="B523" s="2">
        <v>44789.413194444445</v>
      </c>
      <c r="C523" s="1" t="s">
        <v>37</v>
      </c>
      <c r="D523" s="1" t="s">
        <v>47</v>
      </c>
      <c r="E523" s="1" t="s">
        <v>48</v>
      </c>
      <c r="F523" s="1" t="s">
        <v>77</v>
      </c>
      <c r="G523" s="1" t="s">
        <v>77</v>
      </c>
      <c r="H523" s="1" t="s">
        <v>77</v>
      </c>
      <c r="I523" s="1" t="s">
        <v>77</v>
      </c>
      <c r="J523" s="1" t="s">
        <v>77</v>
      </c>
      <c r="K523" s="1" t="s">
        <v>77</v>
      </c>
      <c r="L523">
        <v>20220816095459</v>
      </c>
      <c r="M523" s="1" t="s">
        <v>794</v>
      </c>
      <c r="N523" s="1" t="s">
        <v>140</v>
      </c>
      <c r="O523">
        <v>8</v>
      </c>
      <c r="P523" s="3">
        <v>44789</v>
      </c>
      <c r="Q523">
        <v>33</v>
      </c>
    </row>
    <row r="524" spans="1:17" x14ac:dyDescent="0.3">
      <c r="A524" s="1" t="s">
        <v>795</v>
      </c>
      <c r="B524" s="2">
        <v>44789.413194444445</v>
      </c>
      <c r="C524" s="1" t="s">
        <v>37</v>
      </c>
      <c r="D524" s="1" t="s">
        <v>47</v>
      </c>
      <c r="E524" s="1" t="s">
        <v>51</v>
      </c>
      <c r="F524" s="1" t="s">
        <v>77</v>
      </c>
      <c r="G524" s="1" t="s">
        <v>77</v>
      </c>
      <c r="H524" s="1" t="s">
        <v>77</v>
      </c>
      <c r="I524" s="1" t="s">
        <v>77</v>
      </c>
      <c r="J524" s="1" t="s">
        <v>77</v>
      </c>
      <c r="K524" s="1" t="s">
        <v>77</v>
      </c>
      <c r="L524">
        <v>20220816095507</v>
      </c>
      <c r="M524" s="1" t="s">
        <v>796</v>
      </c>
      <c r="N524" s="1" t="s">
        <v>140</v>
      </c>
      <c r="O524">
        <v>8</v>
      </c>
      <c r="P524" s="3">
        <v>44789</v>
      </c>
      <c r="Q524">
        <v>33</v>
      </c>
    </row>
    <row r="525" spans="1:17" x14ac:dyDescent="0.3">
      <c r="A525" s="1" t="s">
        <v>795</v>
      </c>
      <c r="B525" s="2">
        <v>44789.413194444445</v>
      </c>
      <c r="C525" s="1" t="s">
        <v>37</v>
      </c>
      <c r="D525" s="1" t="s">
        <v>47</v>
      </c>
      <c r="E525" s="1" t="s">
        <v>536</v>
      </c>
      <c r="F525" s="1" t="s">
        <v>77</v>
      </c>
      <c r="G525" s="1" t="s">
        <v>77</v>
      </c>
      <c r="H525" s="1" t="s">
        <v>77</v>
      </c>
      <c r="I525" s="1" t="s">
        <v>77</v>
      </c>
      <c r="J525" s="1" t="s">
        <v>77</v>
      </c>
      <c r="K525" s="1" t="s">
        <v>77</v>
      </c>
      <c r="L525">
        <v>20220816095515</v>
      </c>
      <c r="M525" s="1" t="s">
        <v>797</v>
      </c>
      <c r="N525" s="1" t="s">
        <v>140</v>
      </c>
      <c r="O525">
        <v>8</v>
      </c>
      <c r="P525" s="3">
        <v>44789</v>
      </c>
      <c r="Q525">
        <v>33</v>
      </c>
    </row>
    <row r="526" spans="1:17" x14ac:dyDescent="0.3">
      <c r="A526" s="1" t="s">
        <v>795</v>
      </c>
      <c r="B526" s="2">
        <v>44789.413194444445</v>
      </c>
      <c r="C526" s="1" t="s">
        <v>37</v>
      </c>
      <c r="D526" s="1" t="s">
        <v>53</v>
      </c>
      <c r="E526" s="1" t="s">
        <v>54</v>
      </c>
      <c r="F526" s="1" t="s">
        <v>77</v>
      </c>
      <c r="G526" s="1" t="s">
        <v>77</v>
      </c>
      <c r="H526" s="1" t="s">
        <v>77</v>
      </c>
      <c r="I526" s="1" t="s">
        <v>77</v>
      </c>
      <c r="J526" s="1" t="s">
        <v>77</v>
      </c>
      <c r="K526" s="1" t="s">
        <v>77</v>
      </c>
      <c r="L526">
        <v>20220816095525</v>
      </c>
      <c r="M526" s="1" t="s">
        <v>798</v>
      </c>
      <c r="N526" s="1" t="s">
        <v>140</v>
      </c>
      <c r="O526">
        <v>8</v>
      </c>
      <c r="P526" s="3">
        <v>44789</v>
      </c>
      <c r="Q526">
        <v>33</v>
      </c>
    </row>
    <row r="527" spans="1:17" x14ac:dyDescent="0.3">
      <c r="A527" s="1" t="s">
        <v>795</v>
      </c>
      <c r="B527" s="2">
        <v>44789.413194444445</v>
      </c>
      <c r="C527" s="1" t="s">
        <v>37</v>
      </c>
      <c r="D527" s="1" t="s">
        <v>19</v>
      </c>
      <c r="E527" s="1" t="s">
        <v>58</v>
      </c>
      <c r="F527" s="1" t="s">
        <v>77</v>
      </c>
      <c r="G527" s="1" t="s">
        <v>77</v>
      </c>
      <c r="H527" s="1" t="s">
        <v>77</v>
      </c>
      <c r="I527" s="1" t="s">
        <v>77</v>
      </c>
      <c r="J527" s="1" t="s">
        <v>77</v>
      </c>
      <c r="K527" s="1" t="s">
        <v>77</v>
      </c>
      <c r="L527">
        <v>20220816095533</v>
      </c>
      <c r="M527" s="1" t="s">
        <v>799</v>
      </c>
      <c r="N527" s="1" t="s">
        <v>140</v>
      </c>
      <c r="O527">
        <v>8</v>
      </c>
      <c r="P527" s="3">
        <v>44789</v>
      </c>
      <c r="Q527">
        <v>33</v>
      </c>
    </row>
    <row r="528" spans="1:17" x14ac:dyDescent="0.3">
      <c r="A528" s="1" t="s">
        <v>800</v>
      </c>
      <c r="B528" s="2">
        <v>44789.413888888892</v>
      </c>
      <c r="C528" s="1" t="s">
        <v>37</v>
      </c>
      <c r="D528" s="1" t="s">
        <v>60</v>
      </c>
      <c r="E528" s="1" t="s">
        <v>61</v>
      </c>
      <c r="F528" s="1" t="s">
        <v>77</v>
      </c>
      <c r="G528" s="1" t="s">
        <v>77</v>
      </c>
      <c r="H528" s="1" t="s">
        <v>77</v>
      </c>
      <c r="I528" s="1" t="s">
        <v>77</v>
      </c>
      <c r="J528" s="1" t="s">
        <v>77</v>
      </c>
      <c r="K528" s="1" t="s">
        <v>77</v>
      </c>
      <c r="L528">
        <v>20220816095609</v>
      </c>
      <c r="M528" s="1" t="s">
        <v>801</v>
      </c>
      <c r="N528" s="1" t="s">
        <v>140</v>
      </c>
      <c r="O528">
        <v>8</v>
      </c>
      <c r="P528" s="3">
        <v>44789</v>
      </c>
      <c r="Q528">
        <v>33</v>
      </c>
    </row>
    <row r="529" spans="1:17" x14ac:dyDescent="0.3">
      <c r="A529" s="1" t="s">
        <v>800</v>
      </c>
      <c r="B529" s="2">
        <v>44789.413888888892</v>
      </c>
      <c r="C529" s="1" t="s">
        <v>37</v>
      </c>
      <c r="D529" s="1" t="s">
        <v>29</v>
      </c>
      <c r="E529" s="1" t="s">
        <v>30</v>
      </c>
      <c r="F529" s="1" t="s">
        <v>77</v>
      </c>
      <c r="G529" s="1" t="s">
        <v>77</v>
      </c>
      <c r="H529" s="1" t="s">
        <v>77</v>
      </c>
      <c r="I529" s="1" t="s">
        <v>77</v>
      </c>
      <c r="J529" s="1" t="s">
        <v>77</v>
      </c>
      <c r="K529" s="1" t="s">
        <v>77</v>
      </c>
      <c r="L529">
        <v>20220816095618</v>
      </c>
      <c r="M529" s="1" t="s">
        <v>802</v>
      </c>
      <c r="N529" s="1" t="s">
        <v>140</v>
      </c>
      <c r="O529">
        <v>8</v>
      </c>
      <c r="P529" s="3">
        <v>44789</v>
      </c>
      <c r="Q529">
        <v>33</v>
      </c>
    </row>
    <row r="530" spans="1:17" x14ac:dyDescent="0.3">
      <c r="A530" s="1" t="s">
        <v>800</v>
      </c>
      <c r="B530" s="2">
        <v>44789.413888888892</v>
      </c>
      <c r="C530" s="1" t="s">
        <v>37</v>
      </c>
      <c r="D530" s="1" t="s">
        <v>29</v>
      </c>
      <c r="E530" s="1" t="s">
        <v>554</v>
      </c>
      <c r="F530" s="1" t="s">
        <v>77</v>
      </c>
      <c r="G530" s="1" t="s">
        <v>77</v>
      </c>
      <c r="H530" s="1" t="s">
        <v>77</v>
      </c>
      <c r="I530" s="1" t="s">
        <v>77</v>
      </c>
      <c r="J530" s="1" t="s">
        <v>77</v>
      </c>
      <c r="K530" s="1" t="s">
        <v>77</v>
      </c>
      <c r="L530">
        <v>20220816095626</v>
      </c>
      <c r="M530" s="1" t="s">
        <v>803</v>
      </c>
      <c r="N530" s="1" t="s">
        <v>140</v>
      </c>
      <c r="O530">
        <v>8</v>
      </c>
      <c r="P530" s="3">
        <v>44789</v>
      </c>
      <c r="Q530">
        <v>33</v>
      </c>
    </row>
    <row r="531" spans="1:17" x14ac:dyDescent="0.3">
      <c r="A531" s="1" t="s">
        <v>800</v>
      </c>
      <c r="B531" s="2">
        <v>44789.413888888892</v>
      </c>
      <c r="C531" s="1" t="s">
        <v>37</v>
      </c>
      <c r="D531" s="1" t="s">
        <v>53</v>
      </c>
      <c r="E531" s="1" t="s">
        <v>56</v>
      </c>
      <c r="F531" s="1" t="s">
        <v>77</v>
      </c>
      <c r="G531" s="1" t="s">
        <v>77</v>
      </c>
      <c r="H531" s="1" t="s">
        <v>77</v>
      </c>
      <c r="I531" s="1" t="s">
        <v>77</v>
      </c>
      <c r="J531" s="1" t="s">
        <v>20</v>
      </c>
      <c r="K531" s="1" t="s">
        <v>20</v>
      </c>
      <c r="L531">
        <v>20220816095633</v>
      </c>
      <c r="M531" s="1" t="s">
        <v>804</v>
      </c>
      <c r="N531" s="1" t="s">
        <v>140</v>
      </c>
      <c r="O531">
        <v>8</v>
      </c>
      <c r="P531" s="3">
        <v>44789</v>
      </c>
      <c r="Q531">
        <v>33</v>
      </c>
    </row>
    <row r="532" spans="1:17" x14ac:dyDescent="0.3">
      <c r="A532" s="1" t="s">
        <v>805</v>
      </c>
      <c r="B532" s="2">
        <v>44790.379166666666</v>
      </c>
      <c r="C532" s="1" t="s">
        <v>37</v>
      </c>
      <c r="D532" s="1" t="s">
        <v>26</v>
      </c>
      <c r="E532" s="1" t="s">
        <v>27</v>
      </c>
      <c r="F532" s="1" t="s">
        <v>77</v>
      </c>
      <c r="G532" s="1" t="s">
        <v>77</v>
      </c>
      <c r="H532" s="1" t="s">
        <v>77</v>
      </c>
      <c r="I532" s="1" t="s">
        <v>77</v>
      </c>
      <c r="J532" s="1" t="s">
        <v>77</v>
      </c>
      <c r="K532" s="1" t="s">
        <v>77</v>
      </c>
      <c r="L532">
        <v>20220817090631</v>
      </c>
      <c r="M532" s="1" t="s">
        <v>806</v>
      </c>
      <c r="N532" s="1" t="s">
        <v>24</v>
      </c>
      <c r="O532">
        <v>8</v>
      </c>
      <c r="P532" s="3">
        <v>44790</v>
      </c>
      <c r="Q532">
        <v>33</v>
      </c>
    </row>
    <row r="533" spans="1:17" x14ac:dyDescent="0.3">
      <c r="A533" s="1" t="s">
        <v>807</v>
      </c>
      <c r="B533" s="2">
        <v>44790.379861111112</v>
      </c>
      <c r="C533" s="1" t="s">
        <v>37</v>
      </c>
      <c r="D533" s="1" t="s">
        <v>195</v>
      </c>
      <c r="E533" s="1" t="s">
        <v>21</v>
      </c>
      <c r="F533" s="1" t="s">
        <v>77</v>
      </c>
      <c r="G533" s="1" t="s">
        <v>77</v>
      </c>
      <c r="H533" s="1" t="s">
        <v>77</v>
      </c>
      <c r="I533" s="1" t="s">
        <v>77</v>
      </c>
      <c r="J533" s="1" t="s">
        <v>77</v>
      </c>
      <c r="K533" s="1" t="s">
        <v>77</v>
      </c>
      <c r="L533">
        <v>20220817090700</v>
      </c>
      <c r="M533" s="1" t="s">
        <v>808</v>
      </c>
      <c r="N533" s="1" t="s">
        <v>24</v>
      </c>
      <c r="O533">
        <v>8</v>
      </c>
      <c r="P533" s="3">
        <v>44790</v>
      </c>
      <c r="Q533">
        <v>33</v>
      </c>
    </row>
    <row r="534" spans="1:17" x14ac:dyDescent="0.3">
      <c r="A534" s="1" t="s">
        <v>807</v>
      </c>
      <c r="B534" s="2">
        <v>44790.379861111112</v>
      </c>
      <c r="C534" s="1" t="s">
        <v>37</v>
      </c>
      <c r="D534" s="1" t="s">
        <v>41</v>
      </c>
      <c r="E534" s="1" t="s">
        <v>42</v>
      </c>
      <c r="F534" s="1" t="s">
        <v>77</v>
      </c>
      <c r="G534" s="1" t="s">
        <v>77</v>
      </c>
      <c r="H534" s="1" t="s">
        <v>77</v>
      </c>
      <c r="I534" s="1" t="s">
        <v>77</v>
      </c>
      <c r="J534" s="1" t="s">
        <v>77</v>
      </c>
      <c r="K534" s="1" t="s">
        <v>77</v>
      </c>
      <c r="L534">
        <v>20220817090709</v>
      </c>
      <c r="M534" s="1" t="s">
        <v>809</v>
      </c>
      <c r="N534" s="1" t="s">
        <v>24</v>
      </c>
      <c r="O534">
        <v>8</v>
      </c>
      <c r="P534" s="3">
        <v>44790</v>
      </c>
      <c r="Q534">
        <v>33</v>
      </c>
    </row>
    <row r="535" spans="1:17" x14ac:dyDescent="0.3">
      <c r="A535" s="1" t="s">
        <v>807</v>
      </c>
      <c r="B535" s="2">
        <v>44790.379861111112</v>
      </c>
      <c r="C535" s="1" t="s">
        <v>37</v>
      </c>
      <c r="D535" s="1" t="s">
        <v>44</v>
      </c>
      <c r="E535" s="1" t="s">
        <v>45</v>
      </c>
      <c r="F535" s="1" t="s">
        <v>77</v>
      </c>
      <c r="G535" s="1" t="s">
        <v>77</v>
      </c>
      <c r="H535" s="1" t="s">
        <v>77</v>
      </c>
      <c r="I535" s="1" t="s">
        <v>77</v>
      </c>
      <c r="J535" s="1" t="s">
        <v>77</v>
      </c>
      <c r="K535" s="1" t="s">
        <v>77</v>
      </c>
      <c r="L535">
        <v>20220817090718</v>
      </c>
      <c r="M535" s="1" t="s">
        <v>810</v>
      </c>
      <c r="N535" s="1" t="s">
        <v>24</v>
      </c>
      <c r="O535">
        <v>8</v>
      </c>
      <c r="P535" s="3">
        <v>44790</v>
      </c>
      <c r="Q535">
        <v>33</v>
      </c>
    </row>
    <row r="536" spans="1:17" x14ac:dyDescent="0.3">
      <c r="A536" s="1" t="s">
        <v>807</v>
      </c>
      <c r="B536" s="2">
        <v>44790.379861111112</v>
      </c>
      <c r="C536" s="1" t="s">
        <v>37</v>
      </c>
      <c r="D536" s="1" t="s">
        <v>47</v>
      </c>
      <c r="E536" s="1" t="s">
        <v>51</v>
      </c>
      <c r="F536" s="1" t="s">
        <v>77</v>
      </c>
      <c r="G536" s="1" t="s">
        <v>77</v>
      </c>
      <c r="H536" s="1" t="s">
        <v>77</v>
      </c>
      <c r="I536" s="1" t="s">
        <v>77</v>
      </c>
      <c r="J536" s="1" t="s">
        <v>77</v>
      </c>
      <c r="K536" s="1" t="s">
        <v>77</v>
      </c>
      <c r="L536">
        <v>20220817090726</v>
      </c>
      <c r="M536" s="1" t="s">
        <v>811</v>
      </c>
      <c r="N536" s="1" t="s">
        <v>24</v>
      </c>
      <c r="O536">
        <v>8</v>
      </c>
      <c r="P536" s="3">
        <v>44790</v>
      </c>
      <c r="Q536">
        <v>33</v>
      </c>
    </row>
    <row r="537" spans="1:17" x14ac:dyDescent="0.3">
      <c r="A537" s="1" t="s">
        <v>807</v>
      </c>
      <c r="B537" s="2">
        <v>44790.379861111112</v>
      </c>
      <c r="C537" s="1" t="s">
        <v>37</v>
      </c>
      <c r="D537" s="1" t="s">
        <v>47</v>
      </c>
      <c r="E537" s="1" t="s">
        <v>536</v>
      </c>
      <c r="F537" s="1" t="s">
        <v>77</v>
      </c>
      <c r="G537" s="1" t="s">
        <v>77</v>
      </c>
      <c r="H537" s="1" t="s">
        <v>77</v>
      </c>
      <c r="I537" s="1" t="s">
        <v>77</v>
      </c>
      <c r="J537" s="1" t="s">
        <v>77</v>
      </c>
      <c r="K537" s="1" t="s">
        <v>77</v>
      </c>
      <c r="L537">
        <v>20220817090736</v>
      </c>
      <c r="M537" s="1" t="s">
        <v>812</v>
      </c>
      <c r="N537" s="1" t="s">
        <v>24</v>
      </c>
      <c r="O537">
        <v>8</v>
      </c>
      <c r="P537" s="3">
        <v>44790</v>
      </c>
      <c r="Q537">
        <v>33</v>
      </c>
    </row>
    <row r="538" spans="1:17" x14ac:dyDescent="0.3">
      <c r="A538" s="1" t="s">
        <v>807</v>
      </c>
      <c r="B538" s="2">
        <v>44790.379861111112</v>
      </c>
      <c r="C538" s="1" t="s">
        <v>37</v>
      </c>
      <c r="D538" s="1" t="s">
        <v>53</v>
      </c>
      <c r="E538" s="1" t="s">
        <v>54</v>
      </c>
      <c r="F538" s="1" t="s">
        <v>77</v>
      </c>
      <c r="G538" s="1" t="s">
        <v>77</v>
      </c>
      <c r="H538" s="1" t="s">
        <v>77</v>
      </c>
      <c r="I538" s="1" t="s">
        <v>77</v>
      </c>
      <c r="J538" s="1" t="s">
        <v>77</v>
      </c>
      <c r="K538" s="1" t="s">
        <v>77</v>
      </c>
      <c r="L538">
        <v>20220817090744</v>
      </c>
      <c r="M538" s="1" t="s">
        <v>813</v>
      </c>
      <c r="N538" s="1" t="s">
        <v>24</v>
      </c>
      <c r="O538">
        <v>8</v>
      </c>
      <c r="P538" s="3">
        <v>44790</v>
      </c>
      <c r="Q538">
        <v>33</v>
      </c>
    </row>
    <row r="539" spans="1:17" x14ac:dyDescent="0.3">
      <c r="A539" s="1" t="s">
        <v>807</v>
      </c>
      <c r="B539" s="2">
        <v>44790.380555555559</v>
      </c>
      <c r="C539" s="1" t="s">
        <v>37</v>
      </c>
      <c r="D539" s="1" t="s">
        <v>53</v>
      </c>
      <c r="E539" s="1" t="s">
        <v>56</v>
      </c>
      <c r="F539" s="1" t="s">
        <v>77</v>
      </c>
      <c r="G539" s="1" t="s">
        <v>77</v>
      </c>
      <c r="H539" s="1" t="s">
        <v>77</v>
      </c>
      <c r="I539" s="1" t="s">
        <v>77</v>
      </c>
      <c r="J539" s="1" t="s">
        <v>77</v>
      </c>
      <c r="K539" s="1" t="s">
        <v>77</v>
      </c>
      <c r="L539">
        <v>20220817090751</v>
      </c>
      <c r="M539" s="1" t="s">
        <v>814</v>
      </c>
      <c r="N539" s="1" t="s">
        <v>24</v>
      </c>
      <c r="O539">
        <v>8</v>
      </c>
      <c r="P539" s="3">
        <v>44790</v>
      </c>
      <c r="Q539">
        <v>33</v>
      </c>
    </row>
    <row r="540" spans="1:17" x14ac:dyDescent="0.3">
      <c r="A540" s="1" t="s">
        <v>815</v>
      </c>
      <c r="B540" s="2">
        <v>44790.380555555559</v>
      </c>
      <c r="C540" s="1" t="s">
        <v>37</v>
      </c>
      <c r="D540" s="1" t="s">
        <v>19</v>
      </c>
      <c r="E540" s="1" t="s">
        <v>58</v>
      </c>
      <c r="F540" s="1" t="s">
        <v>77</v>
      </c>
      <c r="G540" s="1" t="s">
        <v>77</v>
      </c>
      <c r="H540" s="1" t="s">
        <v>77</v>
      </c>
      <c r="I540" s="1" t="s">
        <v>77</v>
      </c>
      <c r="J540" s="1" t="s">
        <v>77</v>
      </c>
      <c r="K540" s="1" t="s">
        <v>77</v>
      </c>
      <c r="L540">
        <v>20220817090804</v>
      </c>
      <c r="M540" s="1" t="s">
        <v>816</v>
      </c>
      <c r="N540" s="1" t="s">
        <v>24</v>
      </c>
      <c r="O540">
        <v>8</v>
      </c>
      <c r="P540" s="3">
        <v>44790</v>
      </c>
      <c r="Q540">
        <v>33</v>
      </c>
    </row>
    <row r="541" spans="1:17" x14ac:dyDescent="0.3">
      <c r="A541" s="1" t="s">
        <v>815</v>
      </c>
      <c r="B541" s="2">
        <v>44790.380555555559</v>
      </c>
      <c r="C541" s="1" t="s">
        <v>37</v>
      </c>
      <c r="D541" s="1" t="s">
        <v>60</v>
      </c>
      <c r="E541" s="1" t="s">
        <v>61</v>
      </c>
      <c r="F541" s="1" t="s">
        <v>77</v>
      </c>
      <c r="G541" s="1" t="s">
        <v>77</v>
      </c>
      <c r="H541" s="1" t="s">
        <v>77</v>
      </c>
      <c r="I541" s="1" t="s">
        <v>77</v>
      </c>
      <c r="J541" s="1" t="s">
        <v>77</v>
      </c>
      <c r="K541" s="1" t="s">
        <v>77</v>
      </c>
      <c r="L541">
        <v>20220817090811</v>
      </c>
      <c r="M541" s="1" t="s">
        <v>817</v>
      </c>
      <c r="N541" s="1" t="s">
        <v>24</v>
      </c>
      <c r="O541">
        <v>8</v>
      </c>
      <c r="P541" s="3">
        <v>44790</v>
      </c>
      <c r="Q541">
        <v>33</v>
      </c>
    </row>
    <row r="542" spans="1:17" x14ac:dyDescent="0.3">
      <c r="A542" s="1" t="s">
        <v>815</v>
      </c>
      <c r="B542" s="2">
        <v>44790.380555555559</v>
      </c>
      <c r="C542" s="1" t="s">
        <v>168</v>
      </c>
      <c r="D542" s="1" t="s">
        <v>38</v>
      </c>
      <c r="E542" s="1" t="s">
        <v>77</v>
      </c>
      <c r="F542" s="1" t="s">
        <v>39</v>
      </c>
      <c r="G542" s="1" t="s">
        <v>485</v>
      </c>
      <c r="H542" s="1" t="s">
        <v>77</v>
      </c>
      <c r="I542" s="1" t="s">
        <v>77</v>
      </c>
      <c r="J542" s="1" t="s">
        <v>77</v>
      </c>
      <c r="K542" s="1" t="s">
        <v>77</v>
      </c>
      <c r="L542">
        <v>20220817090836</v>
      </c>
      <c r="M542" s="1" t="s">
        <v>818</v>
      </c>
      <c r="N542" s="1" t="s">
        <v>24</v>
      </c>
      <c r="O542">
        <v>8</v>
      </c>
      <c r="P542" s="3">
        <v>44790</v>
      </c>
      <c r="Q542">
        <v>33</v>
      </c>
    </row>
    <row r="543" spans="1:17" x14ac:dyDescent="0.3">
      <c r="A543" s="1" t="s">
        <v>815</v>
      </c>
      <c r="B543" s="2">
        <v>44790.381249999999</v>
      </c>
      <c r="C543" s="1" t="s">
        <v>18</v>
      </c>
      <c r="D543" s="1" t="s">
        <v>29</v>
      </c>
      <c r="E543" s="1" t="s">
        <v>77</v>
      </c>
      <c r="F543" s="1" t="s">
        <v>77</v>
      </c>
      <c r="G543" s="1" t="s">
        <v>77</v>
      </c>
      <c r="H543" s="1" t="s">
        <v>77</v>
      </c>
      <c r="I543" s="1" t="s">
        <v>77</v>
      </c>
      <c r="J543" s="1" t="s">
        <v>30</v>
      </c>
      <c r="K543" s="1" t="s">
        <v>175</v>
      </c>
      <c r="L543">
        <v>20220817090851</v>
      </c>
      <c r="M543" s="1" t="s">
        <v>819</v>
      </c>
      <c r="N543" s="1" t="s">
        <v>24</v>
      </c>
      <c r="O543">
        <v>8</v>
      </c>
      <c r="P543" s="3">
        <v>44790</v>
      </c>
      <c r="Q543">
        <v>33</v>
      </c>
    </row>
    <row r="544" spans="1:17" x14ac:dyDescent="0.3">
      <c r="A544" s="1" t="s">
        <v>820</v>
      </c>
      <c r="B544" s="2">
        <v>44790.381249999999</v>
      </c>
      <c r="C544" s="1" t="s">
        <v>18</v>
      </c>
      <c r="D544" s="1" t="s">
        <v>29</v>
      </c>
      <c r="E544" s="1" t="s">
        <v>77</v>
      </c>
      <c r="F544" s="1" t="s">
        <v>77</v>
      </c>
      <c r="G544" s="1" t="s">
        <v>77</v>
      </c>
      <c r="H544" s="1" t="s">
        <v>77</v>
      </c>
      <c r="I544" s="1" t="s">
        <v>77</v>
      </c>
      <c r="J544" s="1" t="s">
        <v>554</v>
      </c>
      <c r="K544" s="1" t="s">
        <v>175</v>
      </c>
      <c r="L544">
        <v>20220817090914</v>
      </c>
      <c r="M544" s="1" t="s">
        <v>821</v>
      </c>
      <c r="N544" s="1" t="s">
        <v>24</v>
      </c>
      <c r="O544">
        <v>8</v>
      </c>
      <c r="P544" s="3">
        <v>44790</v>
      </c>
      <c r="Q544">
        <v>33</v>
      </c>
    </row>
    <row r="545" spans="1:17" x14ac:dyDescent="0.3">
      <c r="A545" s="1" t="s">
        <v>822</v>
      </c>
      <c r="B545" s="2">
        <v>44790.383333333331</v>
      </c>
      <c r="C545" s="1" t="s">
        <v>434</v>
      </c>
      <c r="D545" s="1" t="s">
        <v>47</v>
      </c>
      <c r="E545" s="1" t="s">
        <v>48</v>
      </c>
      <c r="F545" s="1" t="s">
        <v>77</v>
      </c>
      <c r="G545" s="1" t="s">
        <v>77</v>
      </c>
      <c r="H545" s="1" t="s">
        <v>20</v>
      </c>
      <c r="I545" s="1" t="s">
        <v>20</v>
      </c>
      <c r="J545" s="1" t="s">
        <v>77</v>
      </c>
      <c r="K545" s="1" t="s">
        <v>77</v>
      </c>
      <c r="L545">
        <v>20220817091200</v>
      </c>
      <c r="M545" s="1" t="s">
        <v>823</v>
      </c>
      <c r="N545" s="1" t="s">
        <v>24</v>
      </c>
      <c r="O545">
        <v>8</v>
      </c>
      <c r="P545" s="3">
        <v>44790</v>
      </c>
      <c r="Q545">
        <v>33</v>
      </c>
    </row>
    <row r="546" spans="1:17" x14ac:dyDescent="0.3">
      <c r="A546" s="1" t="s">
        <v>824</v>
      </c>
      <c r="B546" s="2">
        <v>44791.352083333331</v>
      </c>
      <c r="C546" s="1" t="s">
        <v>37</v>
      </c>
      <c r="D546" s="1" t="s">
        <v>26</v>
      </c>
      <c r="E546" s="1" t="s">
        <v>27</v>
      </c>
      <c r="F546" s="1" t="s">
        <v>77</v>
      </c>
      <c r="G546" s="1" t="s">
        <v>77</v>
      </c>
      <c r="H546" s="1" t="s">
        <v>77</v>
      </c>
      <c r="I546" s="1" t="s">
        <v>77</v>
      </c>
      <c r="J546" s="1" t="s">
        <v>77</v>
      </c>
      <c r="K546" s="1" t="s">
        <v>77</v>
      </c>
      <c r="L546">
        <v>20220818082717</v>
      </c>
      <c r="M546" s="1" t="s">
        <v>825</v>
      </c>
      <c r="N546" s="1" t="s">
        <v>65</v>
      </c>
      <c r="O546">
        <v>8</v>
      </c>
      <c r="P546" s="3">
        <v>44791</v>
      </c>
      <c r="Q546">
        <v>33</v>
      </c>
    </row>
    <row r="547" spans="1:17" x14ac:dyDescent="0.3">
      <c r="A547" s="1" t="s">
        <v>824</v>
      </c>
      <c r="B547" s="2">
        <v>44791.352083333331</v>
      </c>
      <c r="C547" s="1" t="s">
        <v>37</v>
      </c>
      <c r="D547" s="1" t="s">
        <v>195</v>
      </c>
      <c r="E547" s="1" t="s">
        <v>21</v>
      </c>
      <c r="F547" s="1" t="s">
        <v>77</v>
      </c>
      <c r="G547" s="1" t="s">
        <v>77</v>
      </c>
      <c r="H547" s="1" t="s">
        <v>77</v>
      </c>
      <c r="I547" s="1" t="s">
        <v>77</v>
      </c>
      <c r="J547" s="1" t="s">
        <v>77</v>
      </c>
      <c r="K547" s="1" t="s">
        <v>77</v>
      </c>
      <c r="L547">
        <v>20220818082725</v>
      </c>
      <c r="M547" s="1" t="s">
        <v>826</v>
      </c>
      <c r="N547" s="1" t="s">
        <v>65</v>
      </c>
      <c r="O547">
        <v>8</v>
      </c>
      <c r="P547" s="3">
        <v>44791</v>
      </c>
      <c r="Q547">
        <v>33</v>
      </c>
    </row>
    <row r="548" spans="1:17" x14ac:dyDescent="0.3">
      <c r="A548" s="1" t="s">
        <v>824</v>
      </c>
      <c r="B548" s="2">
        <v>44791.352083333331</v>
      </c>
      <c r="C548" s="1" t="s">
        <v>37</v>
      </c>
      <c r="D548" s="1" t="s">
        <v>41</v>
      </c>
      <c r="E548" s="1" t="s">
        <v>42</v>
      </c>
      <c r="F548" s="1" t="s">
        <v>77</v>
      </c>
      <c r="G548" s="1" t="s">
        <v>77</v>
      </c>
      <c r="H548" s="1" t="s">
        <v>77</v>
      </c>
      <c r="I548" s="1" t="s">
        <v>77</v>
      </c>
      <c r="J548" s="1" t="s">
        <v>77</v>
      </c>
      <c r="K548" s="1" t="s">
        <v>77</v>
      </c>
      <c r="L548">
        <v>20220818082733</v>
      </c>
      <c r="M548" s="1" t="s">
        <v>827</v>
      </c>
      <c r="N548" s="1" t="s">
        <v>65</v>
      </c>
      <c r="O548">
        <v>8</v>
      </c>
      <c r="P548" s="3">
        <v>44791</v>
      </c>
      <c r="Q548">
        <v>33</v>
      </c>
    </row>
    <row r="549" spans="1:17" x14ac:dyDescent="0.3">
      <c r="A549" s="1" t="s">
        <v>824</v>
      </c>
      <c r="B549" s="2">
        <v>44791.352083333331</v>
      </c>
      <c r="C549" s="1" t="s">
        <v>37</v>
      </c>
      <c r="D549" s="1" t="s">
        <v>44</v>
      </c>
      <c r="E549" s="1" t="s">
        <v>45</v>
      </c>
      <c r="F549" s="1" t="s">
        <v>77</v>
      </c>
      <c r="G549" s="1" t="s">
        <v>77</v>
      </c>
      <c r="H549" s="1" t="s">
        <v>77</v>
      </c>
      <c r="I549" s="1" t="s">
        <v>77</v>
      </c>
      <c r="J549" s="1" t="s">
        <v>77</v>
      </c>
      <c r="K549" s="1" t="s">
        <v>77</v>
      </c>
      <c r="L549">
        <v>20220818082745</v>
      </c>
      <c r="M549" s="1" t="s">
        <v>828</v>
      </c>
      <c r="N549" s="1" t="s">
        <v>65</v>
      </c>
      <c r="O549">
        <v>8</v>
      </c>
      <c r="P549" s="3">
        <v>44791</v>
      </c>
      <c r="Q549">
        <v>33</v>
      </c>
    </row>
    <row r="550" spans="1:17" x14ac:dyDescent="0.3">
      <c r="A550" s="1" t="s">
        <v>824</v>
      </c>
      <c r="B550" s="2">
        <v>44791.352083333331</v>
      </c>
      <c r="C550" s="1" t="s">
        <v>37</v>
      </c>
      <c r="D550" s="1" t="s">
        <v>47</v>
      </c>
      <c r="E550" s="1" t="s">
        <v>48</v>
      </c>
      <c r="F550" s="1" t="s">
        <v>77</v>
      </c>
      <c r="G550" s="1" t="s">
        <v>77</v>
      </c>
      <c r="H550" s="1" t="s">
        <v>77</v>
      </c>
      <c r="I550" s="1" t="s">
        <v>77</v>
      </c>
      <c r="J550" s="1" t="s">
        <v>77</v>
      </c>
      <c r="K550" s="1" t="s">
        <v>77</v>
      </c>
      <c r="L550">
        <v>20220818082752</v>
      </c>
      <c r="M550" s="1" t="s">
        <v>829</v>
      </c>
      <c r="N550" s="1" t="s">
        <v>65</v>
      </c>
      <c r="O550">
        <v>8</v>
      </c>
      <c r="P550" s="3">
        <v>44791</v>
      </c>
      <c r="Q550">
        <v>33</v>
      </c>
    </row>
    <row r="551" spans="1:17" x14ac:dyDescent="0.3">
      <c r="A551" s="1" t="s">
        <v>830</v>
      </c>
      <c r="B551" s="2">
        <v>44791.352777777778</v>
      </c>
      <c r="C551" s="1" t="s">
        <v>37</v>
      </c>
      <c r="D551" s="1" t="s">
        <v>47</v>
      </c>
      <c r="E551" s="1" t="s">
        <v>51</v>
      </c>
      <c r="F551" s="1" t="s">
        <v>77</v>
      </c>
      <c r="G551" s="1" t="s">
        <v>77</v>
      </c>
      <c r="H551" s="1" t="s">
        <v>77</v>
      </c>
      <c r="I551" s="1" t="s">
        <v>77</v>
      </c>
      <c r="J551" s="1" t="s">
        <v>77</v>
      </c>
      <c r="K551" s="1" t="s">
        <v>77</v>
      </c>
      <c r="L551">
        <v>20220818082800</v>
      </c>
      <c r="M551" s="1" t="s">
        <v>831</v>
      </c>
      <c r="N551" s="1" t="s">
        <v>65</v>
      </c>
      <c r="O551">
        <v>8</v>
      </c>
      <c r="P551" s="3">
        <v>44791</v>
      </c>
      <c r="Q551">
        <v>33</v>
      </c>
    </row>
    <row r="552" spans="1:17" x14ac:dyDescent="0.3">
      <c r="A552" s="1" t="s">
        <v>830</v>
      </c>
      <c r="B552" s="2">
        <v>44791.352777777778</v>
      </c>
      <c r="C552" s="1" t="s">
        <v>37</v>
      </c>
      <c r="D552" s="1" t="s">
        <v>47</v>
      </c>
      <c r="E552" s="1" t="s">
        <v>536</v>
      </c>
      <c r="F552" s="1" t="s">
        <v>77</v>
      </c>
      <c r="G552" s="1" t="s">
        <v>77</v>
      </c>
      <c r="H552" s="1" t="s">
        <v>77</v>
      </c>
      <c r="I552" s="1" t="s">
        <v>77</v>
      </c>
      <c r="J552" s="1" t="s">
        <v>77</v>
      </c>
      <c r="K552" s="1" t="s">
        <v>77</v>
      </c>
      <c r="L552">
        <v>20220818082807</v>
      </c>
      <c r="M552" s="1" t="s">
        <v>832</v>
      </c>
      <c r="N552" s="1" t="s">
        <v>65</v>
      </c>
      <c r="O552">
        <v>8</v>
      </c>
      <c r="P552" s="3">
        <v>44791</v>
      </c>
      <c r="Q552">
        <v>33</v>
      </c>
    </row>
    <row r="553" spans="1:17" x14ac:dyDescent="0.3">
      <c r="A553" s="1" t="s">
        <v>830</v>
      </c>
      <c r="B553" s="2">
        <v>44791.352777777778</v>
      </c>
      <c r="C553" s="1" t="s">
        <v>37</v>
      </c>
      <c r="D553" s="1" t="s">
        <v>53</v>
      </c>
      <c r="E553" s="1" t="s">
        <v>54</v>
      </c>
      <c r="F553" s="1" t="s">
        <v>77</v>
      </c>
      <c r="G553" s="1" t="s">
        <v>77</v>
      </c>
      <c r="H553" s="1" t="s">
        <v>77</v>
      </c>
      <c r="I553" s="1" t="s">
        <v>77</v>
      </c>
      <c r="J553" s="1" t="s">
        <v>77</v>
      </c>
      <c r="K553" s="1" t="s">
        <v>77</v>
      </c>
      <c r="L553">
        <v>20220818082814</v>
      </c>
      <c r="M553" s="1" t="s">
        <v>833</v>
      </c>
      <c r="N553" s="1" t="s">
        <v>65</v>
      </c>
      <c r="O553">
        <v>8</v>
      </c>
      <c r="P553" s="3">
        <v>44791</v>
      </c>
      <c r="Q553">
        <v>33</v>
      </c>
    </row>
    <row r="554" spans="1:17" x14ac:dyDescent="0.3">
      <c r="A554" s="1" t="s">
        <v>830</v>
      </c>
      <c r="B554" s="2">
        <v>44791.352777777778</v>
      </c>
      <c r="C554" s="1" t="s">
        <v>37</v>
      </c>
      <c r="D554" s="1" t="s">
        <v>60</v>
      </c>
      <c r="E554" s="1" t="s">
        <v>61</v>
      </c>
      <c r="F554" s="1" t="s">
        <v>77</v>
      </c>
      <c r="G554" s="1" t="s">
        <v>77</v>
      </c>
      <c r="H554" s="1" t="s">
        <v>77</v>
      </c>
      <c r="I554" s="1" t="s">
        <v>77</v>
      </c>
      <c r="J554" s="1" t="s">
        <v>77</v>
      </c>
      <c r="K554" s="1" t="s">
        <v>77</v>
      </c>
      <c r="L554">
        <v>20220818082821</v>
      </c>
      <c r="M554" s="1" t="s">
        <v>834</v>
      </c>
      <c r="N554" s="1" t="s">
        <v>65</v>
      </c>
      <c r="O554">
        <v>8</v>
      </c>
      <c r="P554" s="3">
        <v>44791</v>
      </c>
      <c r="Q554">
        <v>33</v>
      </c>
    </row>
    <row r="555" spans="1:17" x14ac:dyDescent="0.3">
      <c r="A555" s="1" t="s">
        <v>830</v>
      </c>
      <c r="B555" s="2">
        <v>44791.352777777778</v>
      </c>
      <c r="C555" s="1" t="s">
        <v>37</v>
      </c>
      <c r="D555" s="1" t="s">
        <v>29</v>
      </c>
      <c r="E555" s="1" t="s">
        <v>30</v>
      </c>
      <c r="F555" s="1" t="s">
        <v>77</v>
      </c>
      <c r="G555" s="1" t="s">
        <v>77</v>
      </c>
      <c r="H555" s="1" t="s">
        <v>77</v>
      </c>
      <c r="I555" s="1" t="s">
        <v>77</v>
      </c>
      <c r="J555" s="1" t="s">
        <v>77</v>
      </c>
      <c r="K555" s="1" t="s">
        <v>77</v>
      </c>
      <c r="L555">
        <v>20220818082830</v>
      </c>
      <c r="M555" s="1" t="s">
        <v>835</v>
      </c>
      <c r="N555" s="1" t="s">
        <v>65</v>
      </c>
      <c r="O555">
        <v>8</v>
      </c>
      <c r="P555" s="3">
        <v>44791</v>
      </c>
      <c r="Q555">
        <v>33</v>
      </c>
    </row>
    <row r="556" spans="1:17" x14ac:dyDescent="0.3">
      <c r="A556" s="1" t="s">
        <v>830</v>
      </c>
      <c r="B556" s="2">
        <v>44791.352777777778</v>
      </c>
      <c r="C556" s="1" t="s">
        <v>168</v>
      </c>
      <c r="D556" s="1" t="s">
        <v>38</v>
      </c>
      <c r="E556" s="1" t="s">
        <v>77</v>
      </c>
      <c r="F556" s="1" t="s">
        <v>39</v>
      </c>
      <c r="G556" s="1" t="s">
        <v>485</v>
      </c>
      <c r="H556" s="1" t="s">
        <v>77</v>
      </c>
      <c r="I556" s="1" t="s">
        <v>77</v>
      </c>
      <c r="J556" s="1" t="s">
        <v>77</v>
      </c>
      <c r="K556" s="1" t="s">
        <v>77</v>
      </c>
      <c r="L556">
        <v>20220818082839</v>
      </c>
      <c r="M556" s="1" t="s">
        <v>836</v>
      </c>
      <c r="N556" s="1" t="s">
        <v>65</v>
      </c>
      <c r="O556">
        <v>8</v>
      </c>
      <c r="P556" s="3">
        <v>44791</v>
      </c>
      <c r="Q556">
        <v>33</v>
      </c>
    </row>
    <row r="557" spans="1:17" x14ac:dyDescent="0.3">
      <c r="A557" s="1" t="s">
        <v>830</v>
      </c>
      <c r="B557" s="2">
        <v>44791.353472222225</v>
      </c>
      <c r="C557" s="1" t="s">
        <v>18</v>
      </c>
      <c r="D557" s="1" t="s">
        <v>19</v>
      </c>
      <c r="E557" s="1" t="s">
        <v>77</v>
      </c>
      <c r="F557" s="1" t="s">
        <v>77</v>
      </c>
      <c r="G557" s="1" t="s">
        <v>77</v>
      </c>
      <c r="H557" s="1" t="s">
        <v>77</v>
      </c>
      <c r="I557" s="1" t="s">
        <v>77</v>
      </c>
      <c r="J557" s="1" t="s">
        <v>58</v>
      </c>
      <c r="K557" s="1" t="s">
        <v>171</v>
      </c>
      <c r="L557">
        <v>20220818082856</v>
      </c>
      <c r="M557" s="1" t="s">
        <v>837</v>
      </c>
      <c r="N557" s="1" t="s">
        <v>65</v>
      </c>
      <c r="O557">
        <v>8</v>
      </c>
      <c r="P557" s="3">
        <v>44791</v>
      </c>
      <c r="Q557">
        <v>33</v>
      </c>
    </row>
    <row r="558" spans="1:17" x14ac:dyDescent="0.3">
      <c r="A558" s="1" t="s">
        <v>838</v>
      </c>
      <c r="B558" s="2">
        <v>44791.353472222225</v>
      </c>
      <c r="C558" s="1" t="s">
        <v>18</v>
      </c>
      <c r="D558" s="1" t="s">
        <v>53</v>
      </c>
      <c r="E558" s="1" t="s">
        <v>77</v>
      </c>
      <c r="F558" s="1" t="s">
        <v>77</v>
      </c>
      <c r="G558" s="1" t="s">
        <v>77</v>
      </c>
      <c r="H558" s="1" t="s">
        <v>77</v>
      </c>
      <c r="I558" s="1" t="s">
        <v>77</v>
      </c>
      <c r="J558" s="1" t="s">
        <v>56</v>
      </c>
      <c r="K558" s="1" t="s">
        <v>171</v>
      </c>
      <c r="L558">
        <v>20220818082909</v>
      </c>
      <c r="M558" s="1" t="s">
        <v>839</v>
      </c>
      <c r="N558" s="1" t="s">
        <v>65</v>
      </c>
      <c r="O558">
        <v>8</v>
      </c>
      <c r="P558" s="3">
        <v>44791</v>
      </c>
      <c r="Q558">
        <v>33</v>
      </c>
    </row>
    <row r="559" spans="1:17" x14ac:dyDescent="0.3">
      <c r="A559" s="1" t="s">
        <v>838</v>
      </c>
      <c r="B559" s="2">
        <v>44791.353472222225</v>
      </c>
      <c r="C559" s="1" t="s">
        <v>37</v>
      </c>
      <c r="D559" s="1" t="s">
        <v>29</v>
      </c>
      <c r="E559" s="1" t="s">
        <v>554</v>
      </c>
      <c r="F559" s="1" t="s">
        <v>77</v>
      </c>
      <c r="G559" s="1" t="s">
        <v>77</v>
      </c>
      <c r="H559" s="1" t="s">
        <v>77</v>
      </c>
      <c r="I559" s="1" t="s">
        <v>77</v>
      </c>
      <c r="J559" s="1" t="s">
        <v>20</v>
      </c>
      <c r="K559" s="1" t="s">
        <v>20</v>
      </c>
      <c r="L559">
        <v>20220818082929</v>
      </c>
      <c r="M559" s="1" t="s">
        <v>840</v>
      </c>
      <c r="N559" s="1" t="s">
        <v>65</v>
      </c>
      <c r="O559">
        <v>8</v>
      </c>
      <c r="P559" s="3">
        <v>44791</v>
      </c>
      <c r="Q559">
        <v>33</v>
      </c>
    </row>
    <row r="560" spans="1:17" x14ac:dyDescent="0.3">
      <c r="A560" s="1" t="s">
        <v>841</v>
      </c>
      <c r="B560" s="2">
        <v>44792.416666666664</v>
      </c>
      <c r="C560" s="1" t="s">
        <v>37</v>
      </c>
      <c r="D560" s="1" t="s">
        <v>26</v>
      </c>
      <c r="E560" s="1" t="s">
        <v>27</v>
      </c>
      <c r="F560" s="1" t="s">
        <v>77</v>
      </c>
      <c r="G560" s="1" t="s">
        <v>77</v>
      </c>
      <c r="H560" s="1" t="s">
        <v>77</v>
      </c>
      <c r="I560" s="1" t="s">
        <v>77</v>
      </c>
      <c r="J560" s="1" t="s">
        <v>77</v>
      </c>
      <c r="K560" s="1" t="s">
        <v>77</v>
      </c>
      <c r="L560">
        <v>20220819100024</v>
      </c>
      <c r="M560" s="1" t="s">
        <v>842</v>
      </c>
      <c r="N560" s="1" t="s">
        <v>84</v>
      </c>
      <c r="O560">
        <v>8</v>
      </c>
      <c r="P560" s="3">
        <v>44792</v>
      </c>
      <c r="Q560">
        <v>33</v>
      </c>
    </row>
    <row r="561" spans="1:17" x14ac:dyDescent="0.3">
      <c r="A561" s="1" t="s">
        <v>841</v>
      </c>
      <c r="B561" s="2">
        <v>44792.416666666664</v>
      </c>
      <c r="C561" s="1" t="s">
        <v>37</v>
      </c>
      <c r="D561" s="1" t="s">
        <v>195</v>
      </c>
      <c r="E561" s="1" t="s">
        <v>21</v>
      </c>
      <c r="F561" s="1" t="s">
        <v>77</v>
      </c>
      <c r="G561" s="1" t="s">
        <v>77</v>
      </c>
      <c r="H561" s="1" t="s">
        <v>77</v>
      </c>
      <c r="I561" s="1" t="s">
        <v>77</v>
      </c>
      <c r="J561" s="1" t="s">
        <v>77</v>
      </c>
      <c r="K561" s="1" t="s">
        <v>77</v>
      </c>
      <c r="L561">
        <v>20220819100037</v>
      </c>
      <c r="M561" s="1" t="s">
        <v>843</v>
      </c>
      <c r="N561" s="1" t="s">
        <v>84</v>
      </c>
      <c r="O561">
        <v>8</v>
      </c>
      <c r="P561" s="3">
        <v>44792</v>
      </c>
      <c r="Q561">
        <v>33</v>
      </c>
    </row>
    <row r="562" spans="1:17" x14ac:dyDescent="0.3">
      <c r="A562" s="1" t="s">
        <v>841</v>
      </c>
      <c r="B562" s="2">
        <v>44792.416666666664</v>
      </c>
      <c r="C562" s="1" t="s">
        <v>37</v>
      </c>
      <c r="D562" s="1" t="s">
        <v>41</v>
      </c>
      <c r="E562" s="1" t="s">
        <v>42</v>
      </c>
      <c r="F562" s="1" t="s">
        <v>77</v>
      </c>
      <c r="G562" s="1" t="s">
        <v>77</v>
      </c>
      <c r="H562" s="1" t="s">
        <v>77</v>
      </c>
      <c r="I562" s="1" t="s">
        <v>77</v>
      </c>
      <c r="J562" s="1" t="s">
        <v>77</v>
      </c>
      <c r="K562" s="1" t="s">
        <v>77</v>
      </c>
      <c r="L562">
        <v>20220819100047</v>
      </c>
      <c r="M562" s="1" t="s">
        <v>844</v>
      </c>
      <c r="N562" s="1" t="s">
        <v>84</v>
      </c>
      <c r="O562">
        <v>8</v>
      </c>
      <c r="P562" s="3">
        <v>44792</v>
      </c>
      <c r="Q562">
        <v>33</v>
      </c>
    </row>
    <row r="563" spans="1:17" x14ac:dyDescent="0.3">
      <c r="A563" s="1" t="s">
        <v>841</v>
      </c>
      <c r="B563" s="2">
        <v>44792.417361111111</v>
      </c>
      <c r="C563" s="1" t="s">
        <v>37</v>
      </c>
      <c r="D563" s="1" t="s">
        <v>44</v>
      </c>
      <c r="E563" s="1" t="s">
        <v>45</v>
      </c>
      <c r="F563" s="1" t="s">
        <v>77</v>
      </c>
      <c r="G563" s="1" t="s">
        <v>77</v>
      </c>
      <c r="H563" s="1" t="s">
        <v>77</v>
      </c>
      <c r="I563" s="1" t="s">
        <v>77</v>
      </c>
      <c r="J563" s="1" t="s">
        <v>77</v>
      </c>
      <c r="K563" s="1" t="s">
        <v>77</v>
      </c>
      <c r="L563">
        <v>20220819100056</v>
      </c>
      <c r="M563" s="1" t="s">
        <v>845</v>
      </c>
      <c r="N563" s="1" t="s">
        <v>84</v>
      </c>
      <c r="O563">
        <v>8</v>
      </c>
      <c r="P563" s="3">
        <v>44792</v>
      </c>
      <c r="Q563">
        <v>33</v>
      </c>
    </row>
    <row r="564" spans="1:17" x14ac:dyDescent="0.3">
      <c r="A564" s="1" t="s">
        <v>846</v>
      </c>
      <c r="B564" s="2">
        <v>44792.417361111111</v>
      </c>
      <c r="C564" s="1" t="s">
        <v>37</v>
      </c>
      <c r="D564" s="1" t="s">
        <v>47</v>
      </c>
      <c r="E564" s="1" t="s">
        <v>51</v>
      </c>
      <c r="F564" s="1" t="s">
        <v>77</v>
      </c>
      <c r="G564" s="1" t="s">
        <v>77</v>
      </c>
      <c r="H564" s="1" t="s">
        <v>77</v>
      </c>
      <c r="I564" s="1" t="s">
        <v>77</v>
      </c>
      <c r="J564" s="1" t="s">
        <v>77</v>
      </c>
      <c r="K564" s="1" t="s">
        <v>77</v>
      </c>
      <c r="L564">
        <v>20220819100107</v>
      </c>
      <c r="M564" s="1" t="s">
        <v>847</v>
      </c>
      <c r="N564" s="1" t="s">
        <v>84</v>
      </c>
      <c r="O564">
        <v>8</v>
      </c>
      <c r="P564" s="3">
        <v>44792</v>
      </c>
      <c r="Q564">
        <v>33</v>
      </c>
    </row>
    <row r="565" spans="1:17" x14ac:dyDescent="0.3">
      <c r="A565" s="1" t="s">
        <v>846</v>
      </c>
      <c r="B565" s="2">
        <v>44792.417361111111</v>
      </c>
      <c r="C565" s="1" t="s">
        <v>37</v>
      </c>
      <c r="D565" s="1" t="s">
        <v>60</v>
      </c>
      <c r="E565" s="1" t="s">
        <v>61</v>
      </c>
      <c r="F565" s="1" t="s">
        <v>77</v>
      </c>
      <c r="G565" s="1" t="s">
        <v>77</v>
      </c>
      <c r="H565" s="1" t="s">
        <v>77</v>
      </c>
      <c r="I565" s="1" t="s">
        <v>77</v>
      </c>
      <c r="J565" s="1" t="s">
        <v>77</v>
      </c>
      <c r="K565" s="1" t="s">
        <v>77</v>
      </c>
      <c r="L565">
        <v>20220819100116</v>
      </c>
      <c r="M565" s="1" t="s">
        <v>848</v>
      </c>
      <c r="N565" s="1" t="s">
        <v>84</v>
      </c>
      <c r="O565">
        <v>8</v>
      </c>
      <c r="P565" s="3">
        <v>44792</v>
      </c>
      <c r="Q565">
        <v>33</v>
      </c>
    </row>
    <row r="566" spans="1:17" x14ac:dyDescent="0.3">
      <c r="A566" s="1" t="s">
        <v>846</v>
      </c>
      <c r="B566" s="2">
        <v>44792.417361111111</v>
      </c>
      <c r="C566" s="1" t="s">
        <v>37</v>
      </c>
      <c r="D566" s="1" t="s">
        <v>47</v>
      </c>
      <c r="E566" s="1" t="s">
        <v>536</v>
      </c>
      <c r="F566" s="1" t="s">
        <v>77</v>
      </c>
      <c r="G566" s="1" t="s">
        <v>77</v>
      </c>
      <c r="H566" s="1" t="s">
        <v>77</v>
      </c>
      <c r="I566" s="1" t="s">
        <v>77</v>
      </c>
      <c r="J566" s="1" t="s">
        <v>77</v>
      </c>
      <c r="K566" s="1" t="s">
        <v>77</v>
      </c>
      <c r="L566">
        <v>20220819100127</v>
      </c>
      <c r="M566" s="1" t="s">
        <v>849</v>
      </c>
      <c r="N566" s="1" t="s">
        <v>84</v>
      </c>
      <c r="O566">
        <v>8</v>
      </c>
      <c r="P566" s="3">
        <v>44792</v>
      </c>
      <c r="Q566">
        <v>33</v>
      </c>
    </row>
    <row r="567" spans="1:17" x14ac:dyDescent="0.3">
      <c r="A567" s="1" t="s">
        <v>846</v>
      </c>
      <c r="B567" s="2">
        <v>44792.417361111111</v>
      </c>
      <c r="C567" s="1" t="s">
        <v>37</v>
      </c>
      <c r="D567" s="1" t="s">
        <v>19</v>
      </c>
      <c r="E567" s="1" t="s">
        <v>58</v>
      </c>
      <c r="F567" s="1" t="s">
        <v>77</v>
      </c>
      <c r="G567" s="1" t="s">
        <v>77</v>
      </c>
      <c r="H567" s="1" t="s">
        <v>77</v>
      </c>
      <c r="I567" s="1" t="s">
        <v>77</v>
      </c>
      <c r="J567" s="1" t="s">
        <v>20</v>
      </c>
      <c r="K567" s="1" t="s">
        <v>20</v>
      </c>
      <c r="L567">
        <v>20220819100141</v>
      </c>
      <c r="M567" s="1" t="s">
        <v>850</v>
      </c>
      <c r="N567" s="1" t="s">
        <v>84</v>
      </c>
      <c r="O567">
        <v>8</v>
      </c>
      <c r="P567" s="3">
        <v>44792</v>
      </c>
      <c r="Q567">
        <v>33</v>
      </c>
    </row>
    <row r="568" spans="1:17" x14ac:dyDescent="0.3">
      <c r="A568" s="1" t="s">
        <v>846</v>
      </c>
      <c r="B568" s="2">
        <v>44792.418055555558</v>
      </c>
      <c r="C568" s="1" t="s">
        <v>18</v>
      </c>
      <c r="D568" s="1" t="s">
        <v>53</v>
      </c>
      <c r="E568" s="1" t="s">
        <v>77</v>
      </c>
      <c r="F568" s="1" t="s">
        <v>77</v>
      </c>
      <c r="G568" s="1" t="s">
        <v>77</v>
      </c>
      <c r="H568" s="1" t="s">
        <v>77</v>
      </c>
      <c r="I568" s="1" t="s">
        <v>77</v>
      </c>
      <c r="J568" s="1" t="s">
        <v>54</v>
      </c>
      <c r="K568" s="1" t="s">
        <v>851</v>
      </c>
      <c r="L568">
        <v>20220819100159</v>
      </c>
      <c r="M568" s="1" t="s">
        <v>852</v>
      </c>
      <c r="N568" s="1" t="s">
        <v>84</v>
      </c>
      <c r="O568">
        <v>8</v>
      </c>
      <c r="P568" s="3">
        <v>44792</v>
      </c>
      <c r="Q568">
        <v>33</v>
      </c>
    </row>
    <row r="569" spans="1:17" x14ac:dyDescent="0.3">
      <c r="A569" s="1" t="s">
        <v>853</v>
      </c>
      <c r="B569" s="2">
        <v>44792.418055555558</v>
      </c>
      <c r="C569" s="1" t="s">
        <v>18</v>
      </c>
      <c r="D569" s="1" t="s">
        <v>53</v>
      </c>
      <c r="E569" s="1" t="s">
        <v>20</v>
      </c>
      <c r="F569" s="1" t="s">
        <v>77</v>
      </c>
      <c r="G569" s="1" t="s">
        <v>77</v>
      </c>
      <c r="H569" s="1" t="s">
        <v>77</v>
      </c>
      <c r="I569" s="1" t="s">
        <v>77</v>
      </c>
      <c r="J569" s="1" t="s">
        <v>56</v>
      </c>
      <c r="K569" s="1" t="s">
        <v>854</v>
      </c>
      <c r="L569">
        <v>20220819100219</v>
      </c>
      <c r="M569" s="1" t="s">
        <v>855</v>
      </c>
      <c r="N569" s="1" t="s">
        <v>84</v>
      </c>
      <c r="O569">
        <v>8</v>
      </c>
      <c r="P569" s="3">
        <v>44792</v>
      </c>
      <c r="Q569">
        <v>33</v>
      </c>
    </row>
    <row r="570" spans="1:17" x14ac:dyDescent="0.3">
      <c r="A570" s="1" t="s">
        <v>853</v>
      </c>
      <c r="B570" s="2">
        <v>44792.418055555558</v>
      </c>
      <c r="C570" s="1" t="s">
        <v>37</v>
      </c>
      <c r="D570" s="1" t="s">
        <v>29</v>
      </c>
      <c r="E570" s="1" t="s">
        <v>554</v>
      </c>
      <c r="F570" s="1" t="s">
        <v>77</v>
      </c>
      <c r="G570" s="1" t="s">
        <v>77</v>
      </c>
      <c r="H570" s="1" t="s">
        <v>77</v>
      </c>
      <c r="I570" s="1" t="s">
        <v>77</v>
      </c>
      <c r="J570" s="1" t="s">
        <v>20</v>
      </c>
      <c r="K570" s="1" t="s">
        <v>20</v>
      </c>
      <c r="L570">
        <v>20220819100230</v>
      </c>
      <c r="M570" s="1" t="s">
        <v>856</v>
      </c>
      <c r="N570" s="1" t="s">
        <v>84</v>
      </c>
      <c r="O570">
        <v>8</v>
      </c>
      <c r="P570" s="3">
        <v>44792</v>
      </c>
      <c r="Q570">
        <v>33</v>
      </c>
    </row>
    <row r="571" spans="1:17" x14ac:dyDescent="0.3">
      <c r="A571" s="1" t="s">
        <v>853</v>
      </c>
      <c r="B571" s="2">
        <v>44792.418055555558</v>
      </c>
      <c r="C571" s="1" t="s">
        <v>37</v>
      </c>
      <c r="D571" s="1" t="s">
        <v>29</v>
      </c>
      <c r="E571" s="1" t="s">
        <v>30</v>
      </c>
      <c r="F571" s="1" t="s">
        <v>77</v>
      </c>
      <c r="G571" s="1" t="s">
        <v>77</v>
      </c>
      <c r="H571" s="1" t="s">
        <v>77</v>
      </c>
      <c r="I571" s="1" t="s">
        <v>77</v>
      </c>
      <c r="J571" s="1" t="s">
        <v>77</v>
      </c>
      <c r="K571" s="1" t="s">
        <v>77</v>
      </c>
      <c r="L571">
        <v>20220819100247</v>
      </c>
      <c r="M571" s="1" t="s">
        <v>857</v>
      </c>
      <c r="N571" s="1" t="s">
        <v>84</v>
      </c>
      <c r="O571">
        <v>8</v>
      </c>
      <c r="P571" s="3">
        <v>44792</v>
      </c>
      <c r="Q571">
        <v>33</v>
      </c>
    </row>
    <row r="572" spans="1:17" x14ac:dyDescent="0.3">
      <c r="A572" s="1" t="s">
        <v>853</v>
      </c>
      <c r="B572" s="2">
        <v>44792.418749999997</v>
      </c>
      <c r="C572" s="1" t="s">
        <v>168</v>
      </c>
      <c r="D572" s="1" t="s">
        <v>38</v>
      </c>
      <c r="E572" s="1" t="s">
        <v>77</v>
      </c>
      <c r="F572" s="1" t="s">
        <v>39</v>
      </c>
      <c r="G572" s="1" t="s">
        <v>858</v>
      </c>
      <c r="H572" s="1" t="s">
        <v>77</v>
      </c>
      <c r="I572" s="1" t="s">
        <v>77</v>
      </c>
      <c r="J572" s="1" t="s">
        <v>77</v>
      </c>
      <c r="K572" s="1" t="s">
        <v>77</v>
      </c>
      <c r="L572">
        <v>20220819100256</v>
      </c>
      <c r="M572" s="1" t="s">
        <v>859</v>
      </c>
      <c r="N572" s="1" t="s">
        <v>84</v>
      </c>
      <c r="O572">
        <v>8</v>
      </c>
      <c r="P572" s="3">
        <v>44792</v>
      </c>
      <c r="Q572">
        <v>33</v>
      </c>
    </row>
    <row r="573" spans="1:17" x14ac:dyDescent="0.3">
      <c r="A573" s="1" t="s">
        <v>860</v>
      </c>
      <c r="B573" s="2">
        <v>44792.418749999997</v>
      </c>
      <c r="C573" s="1" t="s">
        <v>37</v>
      </c>
      <c r="D573" s="1" t="s">
        <v>47</v>
      </c>
      <c r="E573" s="1" t="s">
        <v>48</v>
      </c>
      <c r="F573" s="1" t="s">
        <v>77</v>
      </c>
      <c r="G573" s="1" t="s">
        <v>77</v>
      </c>
      <c r="H573" s="1" t="s">
        <v>77</v>
      </c>
      <c r="I573" s="1" t="s">
        <v>77</v>
      </c>
      <c r="J573" s="1" t="s">
        <v>20</v>
      </c>
      <c r="K573" s="1" t="s">
        <v>20</v>
      </c>
      <c r="L573">
        <v>20220819100328</v>
      </c>
      <c r="M573" s="1" t="s">
        <v>861</v>
      </c>
      <c r="N573" s="1" t="s">
        <v>84</v>
      </c>
      <c r="O573">
        <v>8</v>
      </c>
      <c r="P573" s="3">
        <v>44792</v>
      </c>
      <c r="Q573">
        <v>33</v>
      </c>
    </row>
    <row r="574" spans="1:17" x14ac:dyDescent="0.3">
      <c r="A574" s="1" t="s">
        <v>862</v>
      </c>
      <c r="B574" s="2">
        <v>44793.444444444445</v>
      </c>
      <c r="C574" s="1" t="s">
        <v>37</v>
      </c>
      <c r="D574" s="1" t="s">
        <v>41</v>
      </c>
      <c r="E574" s="1" t="s">
        <v>42</v>
      </c>
      <c r="F574" s="1" t="s">
        <v>77</v>
      </c>
      <c r="G574" s="1" t="s">
        <v>77</v>
      </c>
      <c r="H574" s="1" t="s">
        <v>77</v>
      </c>
      <c r="I574" s="1" t="s">
        <v>77</v>
      </c>
      <c r="J574" s="1" t="s">
        <v>77</v>
      </c>
      <c r="K574" s="1" t="s">
        <v>77</v>
      </c>
      <c r="L574">
        <v>20220820104020</v>
      </c>
      <c r="M574" s="1" t="s">
        <v>863</v>
      </c>
      <c r="N574" s="1" t="s">
        <v>101</v>
      </c>
      <c r="O574">
        <v>8</v>
      </c>
      <c r="P574" s="3">
        <v>44793</v>
      </c>
      <c r="Q574">
        <v>33</v>
      </c>
    </row>
    <row r="575" spans="1:17" x14ac:dyDescent="0.3">
      <c r="A575" s="1" t="s">
        <v>862</v>
      </c>
      <c r="B575" s="2">
        <v>44793.444444444445</v>
      </c>
      <c r="C575" s="1" t="s">
        <v>37</v>
      </c>
      <c r="D575" s="1" t="s">
        <v>44</v>
      </c>
      <c r="E575" s="1" t="s">
        <v>45</v>
      </c>
      <c r="F575" s="1" t="s">
        <v>77</v>
      </c>
      <c r="G575" s="1" t="s">
        <v>77</v>
      </c>
      <c r="H575" s="1" t="s">
        <v>77</v>
      </c>
      <c r="I575" s="1" t="s">
        <v>77</v>
      </c>
      <c r="J575" s="1" t="s">
        <v>77</v>
      </c>
      <c r="K575" s="1" t="s">
        <v>77</v>
      </c>
      <c r="L575">
        <v>20220820104033</v>
      </c>
      <c r="M575" s="1" t="s">
        <v>864</v>
      </c>
      <c r="N575" s="1" t="s">
        <v>101</v>
      </c>
      <c r="O575">
        <v>8</v>
      </c>
      <c r="P575" s="3">
        <v>44793</v>
      </c>
      <c r="Q575">
        <v>33</v>
      </c>
    </row>
    <row r="576" spans="1:17" x14ac:dyDescent="0.3">
      <c r="A576" s="1" t="s">
        <v>862</v>
      </c>
      <c r="B576" s="2">
        <v>44793.444444444445</v>
      </c>
      <c r="C576" s="1" t="s">
        <v>37</v>
      </c>
      <c r="D576" s="1" t="s">
        <v>47</v>
      </c>
      <c r="E576" s="1" t="s">
        <v>51</v>
      </c>
      <c r="F576" s="1" t="s">
        <v>77</v>
      </c>
      <c r="G576" s="1" t="s">
        <v>77</v>
      </c>
      <c r="H576" s="1" t="s">
        <v>77</v>
      </c>
      <c r="I576" s="1" t="s">
        <v>77</v>
      </c>
      <c r="J576" s="1" t="s">
        <v>77</v>
      </c>
      <c r="K576" s="1" t="s">
        <v>77</v>
      </c>
      <c r="L576">
        <v>20220820104040</v>
      </c>
      <c r="M576" s="1" t="s">
        <v>865</v>
      </c>
      <c r="N576" s="1" t="s">
        <v>101</v>
      </c>
      <c r="O576">
        <v>8</v>
      </c>
      <c r="P576" s="3">
        <v>44793</v>
      </c>
      <c r="Q576">
        <v>33</v>
      </c>
    </row>
    <row r="577" spans="1:17" x14ac:dyDescent="0.3">
      <c r="A577" s="1" t="s">
        <v>862</v>
      </c>
      <c r="B577" s="2">
        <v>44793.445138888892</v>
      </c>
      <c r="C577" s="1" t="s">
        <v>37</v>
      </c>
      <c r="D577" s="1" t="s">
        <v>47</v>
      </c>
      <c r="E577" s="1" t="s">
        <v>536</v>
      </c>
      <c r="F577" s="1" t="s">
        <v>77</v>
      </c>
      <c r="G577" s="1" t="s">
        <v>77</v>
      </c>
      <c r="H577" s="1" t="s">
        <v>77</v>
      </c>
      <c r="I577" s="1" t="s">
        <v>77</v>
      </c>
      <c r="J577" s="1" t="s">
        <v>77</v>
      </c>
      <c r="K577" s="1" t="s">
        <v>77</v>
      </c>
      <c r="L577">
        <v>20220820104054</v>
      </c>
      <c r="M577" s="1" t="s">
        <v>866</v>
      </c>
      <c r="N577" s="1" t="s">
        <v>101</v>
      </c>
      <c r="O577">
        <v>8</v>
      </c>
      <c r="P577" s="3">
        <v>44793</v>
      </c>
      <c r="Q577">
        <v>33</v>
      </c>
    </row>
    <row r="578" spans="1:17" x14ac:dyDescent="0.3">
      <c r="A578" s="1" t="s">
        <v>867</v>
      </c>
      <c r="B578" s="2">
        <v>44793.445138888892</v>
      </c>
      <c r="C578" s="1" t="s">
        <v>37</v>
      </c>
      <c r="D578" s="1" t="s">
        <v>47</v>
      </c>
      <c r="E578" s="1" t="s">
        <v>48</v>
      </c>
      <c r="F578" s="1" t="s">
        <v>77</v>
      </c>
      <c r="G578" s="1" t="s">
        <v>77</v>
      </c>
      <c r="H578" s="1" t="s">
        <v>77</v>
      </c>
      <c r="I578" s="1" t="s">
        <v>77</v>
      </c>
      <c r="J578" s="1" t="s">
        <v>77</v>
      </c>
      <c r="K578" s="1" t="s">
        <v>77</v>
      </c>
      <c r="L578">
        <v>20220820104103</v>
      </c>
      <c r="M578" s="1" t="s">
        <v>868</v>
      </c>
      <c r="N578" s="1" t="s">
        <v>101</v>
      </c>
      <c r="O578">
        <v>8</v>
      </c>
      <c r="P578" s="3">
        <v>44793</v>
      </c>
      <c r="Q578">
        <v>33</v>
      </c>
    </row>
    <row r="579" spans="1:17" x14ac:dyDescent="0.3">
      <c r="A579" s="1" t="s">
        <v>867</v>
      </c>
      <c r="B579" s="2">
        <v>44793.445138888892</v>
      </c>
      <c r="C579" s="1" t="s">
        <v>37</v>
      </c>
      <c r="D579" s="1" t="s">
        <v>60</v>
      </c>
      <c r="E579" s="1" t="s">
        <v>61</v>
      </c>
      <c r="F579" s="1" t="s">
        <v>77</v>
      </c>
      <c r="G579" s="1" t="s">
        <v>77</v>
      </c>
      <c r="H579" s="1" t="s">
        <v>77</v>
      </c>
      <c r="I579" s="1" t="s">
        <v>77</v>
      </c>
      <c r="J579" s="1" t="s">
        <v>77</v>
      </c>
      <c r="K579" s="1" t="s">
        <v>77</v>
      </c>
      <c r="L579">
        <v>20220820104110</v>
      </c>
      <c r="M579" s="1" t="s">
        <v>869</v>
      </c>
      <c r="N579" s="1" t="s">
        <v>101</v>
      </c>
      <c r="O579">
        <v>8</v>
      </c>
      <c r="P579" s="3">
        <v>44793</v>
      </c>
      <c r="Q579">
        <v>33</v>
      </c>
    </row>
    <row r="580" spans="1:17" x14ac:dyDescent="0.3">
      <c r="A580" s="1" t="s">
        <v>867</v>
      </c>
      <c r="B580" s="2">
        <v>44793.445138888892</v>
      </c>
      <c r="C580" s="1" t="s">
        <v>434</v>
      </c>
      <c r="D580" s="1" t="s">
        <v>38</v>
      </c>
      <c r="E580" s="1" t="s">
        <v>77</v>
      </c>
      <c r="F580" s="1" t="s">
        <v>77</v>
      </c>
      <c r="G580" s="1" t="s">
        <v>77</v>
      </c>
      <c r="H580" s="1" t="s">
        <v>39</v>
      </c>
      <c r="I580" s="1" t="s">
        <v>858</v>
      </c>
      <c r="J580" s="1" t="s">
        <v>77</v>
      </c>
      <c r="K580" s="1" t="s">
        <v>77</v>
      </c>
      <c r="L580">
        <v>20220820104120</v>
      </c>
      <c r="M580" s="1" t="s">
        <v>870</v>
      </c>
      <c r="N580" s="1" t="s">
        <v>101</v>
      </c>
      <c r="O580">
        <v>8</v>
      </c>
      <c r="P580" s="3">
        <v>44793</v>
      </c>
      <c r="Q580">
        <v>33</v>
      </c>
    </row>
    <row r="581" spans="1:17" x14ac:dyDescent="0.3">
      <c r="A581" s="1" t="s">
        <v>867</v>
      </c>
      <c r="B581" s="2">
        <v>44793.445833333331</v>
      </c>
      <c r="C581" s="1" t="s">
        <v>18</v>
      </c>
      <c r="D581" s="1" t="s">
        <v>26</v>
      </c>
      <c r="E581" s="1" t="s">
        <v>77</v>
      </c>
      <c r="F581" s="1" t="s">
        <v>77</v>
      </c>
      <c r="G581" s="1" t="s">
        <v>77</v>
      </c>
      <c r="H581" s="1" t="s">
        <v>77</v>
      </c>
      <c r="I581" s="1" t="s">
        <v>77</v>
      </c>
      <c r="J581" s="1" t="s">
        <v>27</v>
      </c>
      <c r="K581" s="1" t="s">
        <v>331</v>
      </c>
      <c r="L581">
        <v>20220820104150</v>
      </c>
      <c r="M581" s="1" t="s">
        <v>871</v>
      </c>
      <c r="N581" s="1" t="s">
        <v>101</v>
      </c>
      <c r="O581">
        <v>8</v>
      </c>
      <c r="P581" s="3">
        <v>44793</v>
      </c>
      <c r="Q581">
        <v>33</v>
      </c>
    </row>
    <row r="582" spans="1:17" x14ac:dyDescent="0.3">
      <c r="A582" s="1" t="s">
        <v>872</v>
      </c>
      <c r="B582" s="2">
        <v>44793.445833333331</v>
      </c>
      <c r="C582" s="1" t="s">
        <v>18</v>
      </c>
      <c r="D582" s="1" t="s">
        <v>195</v>
      </c>
      <c r="E582" s="1" t="s">
        <v>77</v>
      </c>
      <c r="F582" s="1" t="s">
        <v>77</v>
      </c>
      <c r="G582" s="1" t="s">
        <v>77</v>
      </c>
      <c r="H582" s="1" t="s">
        <v>77</v>
      </c>
      <c r="I582" s="1" t="s">
        <v>77</v>
      </c>
      <c r="J582" s="1" t="s">
        <v>21</v>
      </c>
      <c r="K582" s="1" t="s">
        <v>331</v>
      </c>
      <c r="L582">
        <v>20220820104206</v>
      </c>
      <c r="M582" s="1" t="s">
        <v>873</v>
      </c>
      <c r="N582" s="1" t="s">
        <v>101</v>
      </c>
      <c r="O582">
        <v>8</v>
      </c>
      <c r="P582" s="3">
        <v>44793</v>
      </c>
      <c r="Q582">
        <v>33</v>
      </c>
    </row>
    <row r="583" spans="1:17" x14ac:dyDescent="0.3">
      <c r="A583" s="1" t="s">
        <v>874</v>
      </c>
      <c r="B583" s="2">
        <v>44793.446527777778</v>
      </c>
      <c r="C583" s="1" t="s">
        <v>18</v>
      </c>
      <c r="D583" s="1" t="s">
        <v>53</v>
      </c>
      <c r="E583" s="1" t="s">
        <v>77</v>
      </c>
      <c r="F583" s="1" t="s">
        <v>77</v>
      </c>
      <c r="G583" s="1" t="s">
        <v>77</v>
      </c>
      <c r="H583" s="1" t="s">
        <v>77</v>
      </c>
      <c r="I583" s="1" t="s">
        <v>77</v>
      </c>
      <c r="J583" s="1" t="s">
        <v>54</v>
      </c>
      <c r="K583" s="1" t="s">
        <v>331</v>
      </c>
      <c r="L583">
        <v>20220820104317</v>
      </c>
      <c r="M583" s="1" t="s">
        <v>875</v>
      </c>
      <c r="N583" s="1" t="s">
        <v>101</v>
      </c>
      <c r="O583">
        <v>8</v>
      </c>
      <c r="P583" s="3">
        <v>44793</v>
      </c>
      <c r="Q583">
        <v>33</v>
      </c>
    </row>
    <row r="584" spans="1:17" x14ac:dyDescent="0.3">
      <c r="A584" s="1" t="s">
        <v>874</v>
      </c>
      <c r="B584" s="2">
        <v>44793.446527777778</v>
      </c>
      <c r="C584" s="1" t="s">
        <v>18</v>
      </c>
      <c r="D584" s="1" t="s">
        <v>53</v>
      </c>
      <c r="E584" s="1" t="s">
        <v>77</v>
      </c>
      <c r="F584" s="1" t="s">
        <v>77</v>
      </c>
      <c r="G584" s="1" t="s">
        <v>77</v>
      </c>
      <c r="H584" s="1" t="s">
        <v>77</v>
      </c>
      <c r="I584" s="1" t="s">
        <v>77</v>
      </c>
      <c r="J584" s="1" t="s">
        <v>56</v>
      </c>
      <c r="K584" s="1" t="s">
        <v>197</v>
      </c>
      <c r="L584">
        <v>20220820104330</v>
      </c>
      <c r="M584" s="1" t="s">
        <v>876</v>
      </c>
      <c r="N584" s="1" t="s">
        <v>101</v>
      </c>
      <c r="O584">
        <v>8</v>
      </c>
      <c r="P584" s="3">
        <v>44793</v>
      </c>
      <c r="Q584">
        <v>33</v>
      </c>
    </row>
    <row r="585" spans="1:17" x14ac:dyDescent="0.3">
      <c r="A585" s="1" t="s">
        <v>874</v>
      </c>
      <c r="B585" s="2">
        <v>44793.446527777778</v>
      </c>
      <c r="C585" s="1" t="s">
        <v>18</v>
      </c>
      <c r="D585" s="1" t="s">
        <v>19</v>
      </c>
      <c r="E585" s="1" t="s">
        <v>77</v>
      </c>
      <c r="F585" s="1" t="s">
        <v>77</v>
      </c>
      <c r="G585" s="1" t="s">
        <v>77</v>
      </c>
      <c r="H585" s="1" t="s">
        <v>77</v>
      </c>
      <c r="I585" s="1" t="s">
        <v>77</v>
      </c>
      <c r="J585" s="1" t="s">
        <v>58</v>
      </c>
      <c r="K585" s="1" t="s">
        <v>877</v>
      </c>
      <c r="L585">
        <v>20220820104341</v>
      </c>
      <c r="M585" s="1" t="s">
        <v>878</v>
      </c>
      <c r="N585" s="1" t="s">
        <v>101</v>
      </c>
      <c r="O585">
        <v>8</v>
      </c>
      <c r="P585" s="3">
        <v>44793</v>
      </c>
      <c r="Q585">
        <v>33</v>
      </c>
    </row>
    <row r="586" spans="1:17" x14ac:dyDescent="0.3">
      <c r="A586" s="1" t="s">
        <v>874</v>
      </c>
      <c r="B586" s="2">
        <v>44793.447222222225</v>
      </c>
      <c r="C586" s="1" t="s">
        <v>18</v>
      </c>
      <c r="D586" s="1" t="s">
        <v>29</v>
      </c>
      <c r="E586" s="1" t="s">
        <v>77</v>
      </c>
      <c r="F586" s="1" t="s">
        <v>77</v>
      </c>
      <c r="G586" s="1" t="s">
        <v>77</v>
      </c>
      <c r="H586" s="1" t="s">
        <v>77</v>
      </c>
      <c r="I586" s="1" t="s">
        <v>77</v>
      </c>
      <c r="J586" s="1" t="s">
        <v>30</v>
      </c>
      <c r="K586" s="1" t="s">
        <v>523</v>
      </c>
      <c r="L586">
        <v>20220820104357</v>
      </c>
      <c r="M586" s="1" t="s">
        <v>879</v>
      </c>
      <c r="N586" s="1" t="s">
        <v>101</v>
      </c>
      <c r="O586">
        <v>8</v>
      </c>
      <c r="P586" s="3">
        <v>44793</v>
      </c>
      <c r="Q586">
        <v>33</v>
      </c>
    </row>
    <row r="587" spans="1:17" x14ac:dyDescent="0.3">
      <c r="A587" s="1" t="s">
        <v>880</v>
      </c>
      <c r="B587" s="2">
        <v>44793.447222222225</v>
      </c>
      <c r="C587" s="1" t="s">
        <v>18</v>
      </c>
      <c r="D587" s="1" t="s">
        <v>29</v>
      </c>
      <c r="E587" s="1" t="s">
        <v>77</v>
      </c>
      <c r="F587" s="1" t="s">
        <v>77</v>
      </c>
      <c r="G587" s="1" t="s">
        <v>77</v>
      </c>
      <c r="H587" s="1" t="s">
        <v>77</v>
      </c>
      <c r="I587" s="1" t="s">
        <v>77</v>
      </c>
      <c r="J587" s="1" t="s">
        <v>554</v>
      </c>
      <c r="K587" s="1" t="s">
        <v>523</v>
      </c>
      <c r="L587">
        <v>20220820104410</v>
      </c>
      <c r="M587" s="1" t="s">
        <v>881</v>
      </c>
      <c r="N587" s="1" t="s">
        <v>101</v>
      </c>
      <c r="O587">
        <v>8</v>
      </c>
      <c r="P587" s="3">
        <v>44793</v>
      </c>
      <c r="Q587">
        <v>33</v>
      </c>
    </row>
    <row r="588" spans="1:17" x14ac:dyDescent="0.3">
      <c r="A588" s="1" t="s">
        <v>882</v>
      </c>
      <c r="B588" s="2">
        <v>44795.335416666669</v>
      </c>
      <c r="C588" s="1" t="s">
        <v>37</v>
      </c>
      <c r="D588" s="1" t="s">
        <v>26</v>
      </c>
      <c r="E588" s="1" t="s">
        <v>27</v>
      </c>
      <c r="F588" s="1" t="s">
        <v>77</v>
      </c>
      <c r="G588" s="1" t="s">
        <v>77</v>
      </c>
      <c r="H588" s="1" t="s">
        <v>77</v>
      </c>
      <c r="I588" s="1" t="s">
        <v>77</v>
      </c>
      <c r="J588" s="1" t="s">
        <v>77</v>
      </c>
      <c r="K588" s="1" t="s">
        <v>77</v>
      </c>
      <c r="L588">
        <v>20220822080328</v>
      </c>
      <c r="M588" s="1" t="s">
        <v>883</v>
      </c>
      <c r="N588" s="1" t="s">
        <v>120</v>
      </c>
      <c r="O588">
        <v>8</v>
      </c>
      <c r="P588" s="3">
        <v>44795</v>
      </c>
      <c r="Q588">
        <v>34</v>
      </c>
    </row>
    <row r="589" spans="1:17" x14ac:dyDescent="0.3">
      <c r="A589" s="1" t="s">
        <v>882</v>
      </c>
      <c r="B589" s="2">
        <v>44795.335416666669</v>
      </c>
      <c r="C589" s="1" t="s">
        <v>37</v>
      </c>
      <c r="D589" s="1" t="s">
        <v>195</v>
      </c>
      <c r="E589" s="1" t="s">
        <v>21</v>
      </c>
      <c r="F589" s="1" t="s">
        <v>77</v>
      </c>
      <c r="G589" s="1" t="s">
        <v>77</v>
      </c>
      <c r="H589" s="1" t="s">
        <v>77</v>
      </c>
      <c r="I589" s="1" t="s">
        <v>77</v>
      </c>
      <c r="J589" s="1" t="s">
        <v>77</v>
      </c>
      <c r="K589" s="1" t="s">
        <v>77</v>
      </c>
      <c r="L589">
        <v>20220822080338</v>
      </c>
      <c r="M589" s="1" t="s">
        <v>884</v>
      </c>
      <c r="N589" s="1" t="s">
        <v>120</v>
      </c>
      <c r="O589">
        <v>8</v>
      </c>
      <c r="P589" s="3">
        <v>44795</v>
      </c>
      <c r="Q589">
        <v>34</v>
      </c>
    </row>
    <row r="590" spans="1:17" x14ac:dyDescent="0.3">
      <c r="A590" s="1" t="s">
        <v>882</v>
      </c>
      <c r="B590" s="2">
        <v>44795.335416666669</v>
      </c>
      <c r="C590" s="1" t="s">
        <v>37</v>
      </c>
      <c r="D590" s="1" t="s">
        <v>41</v>
      </c>
      <c r="E590" s="1" t="s">
        <v>42</v>
      </c>
      <c r="F590" s="1" t="s">
        <v>77</v>
      </c>
      <c r="G590" s="1" t="s">
        <v>77</v>
      </c>
      <c r="H590" s="1" t="s">
        <v>77</v>
      </c>
      <c r="I590" s="1" t="s">
        <v>77</v>
      </c>
      <c r="J590" s="1" t="s">
        <v>77</v>
      </c>
      <c r="K590" s="1" t="s">
        <v>77</v>
      </c>
      <c r="L590">
        <v>20220822080353</v>
      </c>
      <c r="M590" s="1" t="s">
        <v>885</v>
      </c>
      <c r="N590" s="1" t="s">
        <v>120</v>
      </c>
      <c r="O590">
        <v>8</v>
      </c>
      <c r="P590" s="3">
        <v>44795</v>
      </c>
      <c r="Q590">
        <v>34</v>
      </c>
    </row>
    <row r="591" spans="1:17" x14ac:dyDescent="0.3">
      <c r="A591" s="1" t="s">
        <v>886</v>
      </c>
      <c r="B591" s="2">
        <v>44795.336111111108</v>
      </c>
      <c r="C591" s="1" t="s">
        <v>37</v>
      </c>
      <c r="D591" s="1" t="s">
        <v>44</v>
      </c>
      <c r="E591" s="1" t="s">
        <v>45</v>
      </c>
      <c r="F591" s="1" t="s">
        <v>77</v>
      </c>
      <c r="G591" s="1" t="s">
        <v>77</v>
      </c>
      <c r="H591" s="1" t="s">
        <v>77</v>
      </c>
      <c r="I591" s="1" t="s">
        <v>77</v>
      </c>
      <c r="J591" s="1" t="s">
        <v>77</v>
      </c>
      <c r="K591" s="1" t="s">
        <v>77</v>
      </c>
      <c r="L591">
        <v>20220822080402</v>
      </c>
      <c r="M591" s="1" t="s">
        <v>887</v>
      </c>
      <c r="N591" s="1" t="s">
        <v>120</v>
      </c>
      <c r="O591">
        <v>8</v>
      </c>
      <c r="P591" s="3">
        <v>44795</v>
      </c>
      <c r="Q591">
        <v>34</v>
      </c>
    </row>
    <row r="592" spans="1:17" x14ac:dyDescent="0.3">
      <c r="A592" s="1" t="s">
        <v>886</v>
      </c>
      <c r="B592" s="2">
        <v>44795.336111111108</v>
      </c>
      <c r="C592" s="1" t="s">
        <v>37</v>
      </c>
      <c r="D592" s="1" t="s">
        <v>47</v>
      </c>
      <c r="E592" s="1" t="s">
        <v>48</v>
      </c>
      <c r="F592" s="1" t="s">
        <v>77</v>
      </c>
      <c r="G592" s="1" t="s">
        <v>77</v>
      </c>
      <c r="H592" s="1" t="s">
        <v>77</v>
      </c>
      <c r="I592" s="1" t="s">
        <v>77</v>
      </c>
      <c r="J592" s="1" t="s">
        <v>77</v>
      </c>
      <c r="K592" s="1" t="s">
        <v>77</v>
      </c>
      <c r="L592">
        <v>20220822080411</v>
      </c>
      <c r="M592" s="1" t="s">
        <v>888</v>
      </c>
      <c r="N592" s="1" t="s">
        <v>120</v>
      </c>
      <c r="O592">
        <v>8</v>
      </c>
      <c r="P592" s="3">
        <v>44795</v>
      </c>
      <c r="Q592">
        <v>34</v>
      </c>
    </row>
    <row r="593" spans="1:17" x14ac:dyDescent="0.3">
      <c r="A593" s="1" t="s">
        <v>886</v>
      </c>
      <c r="B593" s="2">
        <v>44795.336111111108</v>
      </c>
      <c r="C593" s="1" t="s">
        <v>37</v>
      </c>
      <c r="D593" s="1" t="s">
        <v>47</v>
      </c>
      <c r="E593" s="1" t="s">
        <v>51</v>
      </c>
      <c r="F593" s="1" t="s">
        <v>77</v>
      </c>
      <c r="G593" s="1" t="s">
        <v>77</v>
      </c>
      <c r="H593" s="1" t="s">
        <v>77</v>
      </c>
      <c r="I593" s="1" t="s">
        <v>77</v>
      </c>
      <c r="J593" s="1" t="s">
        <v>77</v>
      </c>
      <c r="K593" s="1" t="s">
        <v>77</v>
      </c>
      <c r="L593">
        <v>20220822080424</v>
      </c>
      <c r="M593" s="1" t="s">
        <v>889</v>
      </c>
      <c r="N593" s="1" t="s">
        <v>120</v>
      </c>
      <c r="O593">
        <v>8</v>
      </c>
      <c r="P593" s="3">
        <v>44795</v>
      </c>
      <c r="Q593">
        <v>34</v>
      </c>
    </row>
    <row r="594" spans="1:17" x14ac:dyDescent="0.3">
      <c r="A594" s="1" t="s">
        <v>886</v>
      </c>
      <c r="B594" s="2">
        <v>44795.336111111108</v>
      </c>
      <c r="C594" s="1" t="s">
        <v>37</v>
      </c>
      <c r="D594" s="1" t="s">
        <v>47</v>
      </c>
      <c r="E594" s="1" t="s">
        <v>536</v>
      </c>
      <c r="F594" s="1" t="s">
        <v>77</v>
      </c>
      <c r="G594" s="1" t="s">
        <v>77</v>
      </c>
      <c r="H594" s="1" t="s">
        <v>77</v>
      </c>
      <c r="I594" s="1" t="s">
        <v>77</v>
      </c>
      <c r="J594" s="1" t="s">
        <v>77</v>
      </c>
      <c r="K594" s="1" t="s">
        <v>77</v>
      </c>
      <c r="L594">
        <v>20220822080432</v>
      </c>
      <c r="M594" s="1" t="s">
        <v>890</v>
      </c>
      <c r="N594" s="1" t="s">
        <v>120</v>
      </c>
      <c r="O594">
        <v>8</v>
      </c>
      <c r="P594" s="3">
        <v>44795</v>
      </c>
      <c r="Q594">
        <v>34</v>
      </c>
    </row>
    <row r="595" spans="1:17" x14ac:dyDescent="0.3">
      <c r="A595" s="1" t="s">
        <v>886</v>
      </c>
      <c r="B595" s="2">
        <v>44795.336111111108</v>
      </c>
      <c r="C595" s="1" t="s">
        <v>37</v>
      </c>
      <c r="D595" s="1" t="s">
        <v>53</v>
      </c>
      <c r="E595" s="1" t="s">
        <v>54</v>
      </c>
      <c r="F595" s="1" t="s">
        <v>77</v>
      </c>
      <c r="G595" s="1" t="s">
        <v>77</v>
      </c>
      <c r="H595" s="1" t="s">
        <v>77</v>
      </c>
      <c r="I595" s="1" t="s">
        <v>77</v>
      </c>
      <c r="J595" s="1" t="s">
        <v>77</v>
      </c>
      <c r="K595" s="1" t="s">
        <v>77</v>
      </c>
      <c r="L595">
        <v>20220822080442</v>
      </c>
      <c r="M595" s="1" t="s">
        <v>891</v>
      </c>
      <c r="N595" s="1" t="s">
        <v>120</v>
      </c>
      <c r="O595">
        <v>8</v>
      </c>
      <c r="P595" s="3">
        <v>44795</v>
      </c>
      <c r="Q595">
        <v>34</v>
      </c>
    </row>
    <row r="596" spans="1:17" x14ac:dyDescent="0.3">
      <c r="A596" s="1" t="s">
        <v>886</v>
      </c>
      <c r="B596" s="2">
        <v>44795.336111111108</v>
      </c>
      <c r="C596" s="1" t="s">
        <v>37</v>
      </c>
      <c r="D596" s="1" t="s">
        <v>19</v>
      </c>
      <c r="E596" s="1" t="s">
        <v>58</v>
      </c>
      <c r="F596" s="1" t="s">
        <v>77</v>
      </c>
      <c r="G596" s="1" t="s">
        <v>77</v>
      </c>
      <c r="H596" s="1" t="s">
        <v>77</v>
      </c>
      <c r="I596" s="1" t="s">
        <v>77</v>
      </c>
      <c r="J596" s="1" t="s">
        <v>77</v>
      </c>
      <c r="K596" s="1" t="s">
        <v>77</v>
      </c>
      <c r="L596">
        <v>20220822080450</v>
      </c>
      <c r="M596" s="1" t="s">
        <v>892</v>
      </c>
      <c r="N596" s="1" t="s">
        <v>120</v>
      </c>
      <c r="O596">
        <v>8</v>
      </c>
      <c r="P596" s="3">
        <v>44795</v>
      </c>
      <c r="Q596">
        <v>34</v>
      </c>
    </row>
    <row r="597" spans="1:17" x14ac:dyDescent="0.3">
      <c r="A597" s="1" t="s">
        <v>886</v>
      </c>
      <c r="B597" s="2">
        <v>44795.336805555555</v>
      </c>
      <c r="C597" s="1" t="s">
        <v>37</v>
      </c>
      <c r="D597" s="1" t="s">
        <v>60</v>
      </c>
      <c r="E597" s="1" t="s">
        <v>61</v>
      </c>
      <c r="F597" s="1" t="s">
        <v>77</v>
      </c>
      <c r="G597" s="1" t="s">
        <v>77</v>
      </c>
      <c r="H597" s="1" t="s">
        <v>77</v>
      </c>
      <c r="I597" s="1" t="s">
        <v>77</v>
      </c>
      <c r="J597" s="1" t="s">
        <v>77</v>
      </c>
      <c r="K597" s="1" t="s">
        <v>77</v>
      </c>
      <c r="L597">
        <v>20220822080458</v>
      </c>
      <c r="M597" s="1" t="s">
        <v>893</v>
      </c>
      <c r="N597" s="1" t="s">
        <v>120</v>
      </c>
      <c r="O597">
        <v>8</v>
      </c>
      <c r="P597" s="3">
        <v>44795</v>
      </c>
      <c r="Q597">
        <v>34</v>
      </c>
    </row>
    <row r="598" spans="1:17" x14ac:dyDescent="0.3">
      <c r="A598" s="1" t="s">
        <v>894</v>
      </c>
      <c r="B598" s="2">
        <v>44795.337500000001</v>
      </c>
      <c r="C598" s="1" t="s">
        <v>37</v>
      </c>
      <c r="D598" s="1" t="s">
        <v>29</v>
      </c>
      <c r="E598" s="1" t="s">
        <v>554</v>
      </c>
      <c r="F598" s="1" t="s">
        <v>77</v>
      </c>
      <c r="G598" s="1" t="s">
        <v>77</v>
      </c>
      <c r="H598" s="1" t="s">
        <v>77</v>
      </c>
      <c r="I598" s="1" t="s">
        <v>77</v>
      </c>
      <c r="J598" s="1" t="s">
        <v>77</v>
      </c>
      <c r="K598" s="1" t="s">
        <v>77</v>
      </c>
      <c r="L598">
        <v>20220822080506</v>
      </c>
      <c r="M598" s="1" t="s">
        <v>895</v>
      </c>
      <c r="N598" s="1" t="s">
        <v>120</v>
      </c>
      <c r="O598">
        <v>8</v>
      </c>
      <c r="P598" s="3">
        <v>44795</v>
      </c>
      <c r="Q598">
        <v>34</v>
      </c>
    </row>
    <row r="599" spans="1:17" x14ac:dyDescent="0.3">
      <c r="A599" s="1" t="s">
        <v>896</v>
      </c>
      <c r="B599" s="2">
        <v>44795.338194444441</v>
      </c>
      <c r="C599" s="1" t="s">
        <v>434</v>
      </c>
      <c r="D599" s="1" t="s">
        <v>38</v>
      </c>
      <c r="E599" s="1" t="s">
        <v>77</v>
      </c>
      <c r="F599" s="1" t="s">
        <v>77</v>
      </c>
      <c r="G599" s="1" t="s">
        <v>77</v>
      </c>
      <c r="H599" s="1" t="s">
        <v>39</v>
      </c>
      <c r="I599" s="1" t="s">
        <v>858</v>
      </c>
      <c r="J599" s="1" t="s">
        <v>77</v>
      </c>
      <c r="K599" s="1" t="s">
        <v>77</v>
      </c>
      <c r="L599">
        <v>20220822080659</v>
      </c>
      <c r="M599" s="1" t="s">
        <v>897</v>
      </c>
      <c r="N599" s="1" t="s">
        <v>120</v>
      </c>
      <c r="O599">
        <v>8</v>
      </c>
      <c r="P599" s="3">
        <v>44795</v>
      </c>
      <c r="Q599">
        <v>34</v>
      </c>
    </row>
    <row r="600" spans="1:17" x14ac:dyDescent="0.3">
      <c r="A600" s="1" t="s">
        <v>898</v>
      </c>
      <c r="B600" s="2">
        <v>44795.338194444441</v>
      </c>
      <c r="C600" s="1" t="s">
        <v>37</v>
      </c>
      <c r="D600" s="1" t="s">
        <v>29</v>
      </c>
      <c r="E600" s="1" t="s">
        <v>30</v>
      </c>
      <c r="F600" s="1" t="s">
        <v>77</v>
      </c>
      <c r="G600" s="1" t="s">
        <v>77</v>
      </c>
      <c r="H600" s="1" t="s">
        <v>77</v>
      </c>
      <c r="I600" s="1" t="s">
        <v>77</v>
      </c>
      <c r="J600" s="1" t="s">
        <v>20</v>
      </c>
      <c r="K600" s="1" t="s">
        <v>20</v>
      </c>
      <c r="L600">
        <v>20220822080719</v>
      </c>
      <c r="M600" s="1" t="s">
        <v>899</v>
      </c>
      <c r="N600" s="1" t="s">
        <v>120</v>
      </c>
      <c r="O600">
        <v>8</v>
      </c>
      <c r="P600" s="3">
        <v>44795</v>
      </c>
      <c r="Q600">
        <v>34</v>
      </c>
    </row>
    <row r="601" spans="1:17" x14ac:dyDescent="0.3">
      <c r="A601" s="1" t="s">
        <v>898</v>
      </c>
      <c r="B601" s="2">
        <v>44795.338194444441</v>
      </c>
      <c r="C601" s="1" t="s">
        <v>18</v>
      </c>
      <c r="D601" s="1" t="s">
        <v>53</v>
      </c>
      <c r="E601" s="1" t="s">
        <v>77</v>
      </c>
      <c r="F601" s="1" t="s">
        <v>77</v>
      </c>
      <c r="G601" s="1" t="s">
        <v>77</v>
      </c>
      <c r="H601" s="1" t="s">
        <v>77</v>
      </c>
      <c r="I601" s="1" t="s">
        <v>77</v>
      </c>
      <c r="J601" s="1" t="s">
        <v>56</v>
      </c>
      <c r="K601" s="1" t="s">
        <v>197</v>
      </c>
      <c r="L601">
        <v>20220822080734</v>
      </c>
      <c r="M601" s="1" t="s">
        <v>900</v>
      </c>
      <c r="N601" s="1" t="s">
        <v>120</v>
      </c>
      <c r="O601">
        <v>8</v>
      </c>
      <c r="P601" s="3">
        <v>44795</v>
      </c>
      <c r="Q601">
        <v>34</v>
      </c>
    </row>
    <row r="602" spans="1:17" x14ac:dyDescent="0.3">
      <c r="A602" s="1" t="s">
        <v>901</v>
      </c>
      <c r="B602" s="2">
        <v>44796.324999999997</v>
      </c>
      <c r="C602" s="1" t="s">
        <v>37</v>
      </c>
      <c r="D602" s="1" t="s">
        <v>26</v>
      </c>
      <c r="E602" s="1" t="s">
        <v>27</v>
      </c>
      <c r="F602" s="1" t="s">
        <v>77</v>
      </c>
      <c r="G602" s="1" t="s">
        <v>77</v>
      </c>
      <c r="H602" s="1" t="s">
        <v>77</v>
      </c>
      <c r="I602" s="1" t="s">
        <v>77</v>
      </c>
      <c r="J602" s="1" t="s">
        <v>77</v>
      </c>
      <c r="K602" s="1" t="s">
        <v>77</v>
      </c>
      <c r="L602">
        <v>20220823074822</v>
      </c>
      <c r="M602" s="1" t="s">
        <v>902</v>
      </c>
      <c r="N602" s="1" t="s">
        <v>140</v>
      </c>
      <c r="O602">
        <v>8</v>
      </c>
      <c r="P602" s="3">
        <v>44796</v>
      </c>
      <c r="Q602">
        <v>34</v>
      </c>
    </row>
    <row r="603" spans="1:17" x14ac:dyDescent="0.3">
      <c r="A603" s="1" t="s">
        <v>903</v>
      </c>
      <c r="B603" s="2">
        <v>44796.325694444444</v>
      </c>
      <c r="C603" s="1" t="s">
        <v>37</v>
      </c>
      <c r="D603" s="1" t="s">
        <v>195</v>
      </c>
      <c r="E603" s="1" t="s">
        <v>21</v>
      </c>
      <c r="F603" s="1" t="s">
        <v>77</v>
      </c>
      <c r="G603" s="1" t="s">
        <v>77</v>
      </c>
      <c r="H603" s="1" t="s">
        <v>77</v>
      </c>
      <c r="I603" s="1" t="s">
        <v>77</v>
      </c>
      <c r="J603" s="1" t="s">
        <v>77</v>
      </c>
      <c r="K603" s="1" t="s">
        <v>77</v>
      </c>
      <c r="L603">
        <v>20220823074900</v>
      </c>
      <c r="M603" s="1" t="s">
        <v>904</v>
      </c>
      <c r="N603" s="1" t="s">
        <v>140</v>
      </c>
      <c r="O603">
        <v>8</v>
      </c>
      <c r="P603" s="3">
        <v>44796</v>
      </c>
      <c r="Q603">
        <v>34</v>
      </c>
    </row>
    <row r="604" spans="1:17" x14ac:dyDescent="0.3">
      <c r="A604" s="1" t="s">
        <v>903</v>
      </c>
      <c r="B604" s="2">
        <v>44796.325694444444</v>
      </c>
      <c r="C604" s="1" t="s">
        <v>37</v>
      </c>
      <c r="D604" s="1" t="s">
        <v>41</v>
      </c>
      <c r="E604" s="1" t="s">
        <v>42</v>
      </c>
      <c r="F604" s="1" t="s">
        <v>77</v>
      </c>
      <c r="G604" s="1" t="s">
        <v>77</v>
      </c>
      <c r="H604" s="1" t="s">
        <v>77</v>
      </c>
      <c r="I604" s="1" t="s">
        <v>77</v>
      </c>
      <c r="J604" s="1" t="s">
        <v>77</v>
      </c>
      <c r="K604" s="1" t="s">
        <v>77</v>
      </c>
      <c r="L604">
        <v>20220823074914</v>
      </c>
      <c r="M604" s="1" t="s">
        <v>905</v>
      </c>
      <c r="N604" s="1" t="s">
        <v>140</v>
      </c>
      <c r="O604">
        <v>8</v>
      </c>
      <c r="P604" s="3">
        <v>44796</v>
      </c>
      <c r="Q604">
        <v>34</v>
      </c>
    </row>
    <row r="605" spans="1:17" x14ac:dyDescent="0.3">
      <c r="A605" s="1" t="s">
        <v>903</v>
      </c>
      <c r="B605" s="2">
        <v>44796.325694444444</v>
      </c>
      <c r="C605" s="1" t="s">
        <v>37</v>
      </c>
      <c r="D605" s="1" t="s">
        <v>44</v>
      </c>
      <c r="E605" s="1" t="s">
        <v>45</v>
      </c>
      <c r="F605" s="1" t="s">
        <v>77</v>
      </c>
      <c r="G605" s="1" t="s">
        <v>77</v>
      </c>
      <c r="H605" s="1" t="s">
        <v>77</v>
      </c>
      <c r="I605" s="1" t="s">
        <v>77</v>
      </c>
      <c r="J605" s="1" t="s">
        <v>77</v>
      </c>
      <c r="K605" s="1" t="s">
        <v>77</v>
      </c>
      <c r="L605">
        <v>20220823074925</v>
      </c>
      <c r="M605" s="1" t="s">
        <v>906</v>
      </c>
      <c r="N605" s="1" t="s">
        <v>140</v>
      </c>
      <c r="O605">
        <v>8</v>
      </c>
      <c r="P605" s="3">
        <v>44796</v>
      </c>
      <c r="Q605">
        <v>34</v>
      </c>
    </row>
    <row r="606" spans="1:17" x14ac:dyDescent="0.3">
      <c r="A606" s="1" t="s">
        <v>903</v>
      </c>
      <c r="B606" s="2">
        <v>44796.325694444444</v>
      </c>
      <c r="C606" s="1" t="s">
        <v>37</v>
      </c>
      <c r="D606" s="1" t="s">
        <v>47</v>
      </c>
      <c r="E606" s="1" t="s">
        <v>48</v>
      </c>
      <c r="F606" s="1" t="s">
        <v>77</v>
      </c>
      <c r="G606" s="1" t="s">
        <v>77</v>
      </c>
      <c r="H606" s="1" t="s">
        <v>77</v>
      </c>
      <c r="I606" s="1" t="s">
        <v>77</v>
      </c>
      <c r="J606" s="1" t="s">
        <v>77</v>
      </c>
      <c r="K606" s="1" t="s">
        <v>77</v>
      </c>
      <c r="L606">
        <v>20220823074943</v>
      </c>
      <c r="M606" s="1" t="s">
        <v>907</v>
      </c>
      <c r="N606" s="1" t="s">
        <v>140</v>
      </c>
      <c r="O606">
        <v>8</v>
      </c>
      <c r="P606" s="3">
        <v>44796</v>
      </c>
      <c r="Q606">
        <v>34</v>
      </c>
    </row>
    <row r="607" spans="1:17" x14ac:dyDescent="0.3">
      <c r="A607" s="1" t="s">
        <v>903</v>
      </c>
      <c r="B607" s="2">
        <v>44796.325694444444</v>
      </c>
      <c r="C607" s="1" t="s">
        <v>37</v>
      </c>
      <c r="D607" s="1" t="s">
        <v>47</v>
      </c>
      <c r="E607" s="1" t="s">
        <v>51</v>
      </c>
      <c r="F607" s="1" t="s">
        <v>77</v>
      </c>
      <c r="G607" s="1" t="s">
        <v>77</v>
      </c>
      <c r="H607" s="1" t="s">
        <v>77</v>
      </c>
      <c r="I607" s="1" t="s">
        <v>77</v>
      </c>
      <c r="J607" s="1" t="s">
        <v>77</v>
      </c>
      <c r="K607" s="1" t="s">
        <v>77</v>
      </c>
      <c r="L607">
        <v>20220823074952</v>
      </c>
      <c r="M607" s="1" t="s">
        <v>908</v>
      </c>
      <c r="N607" s="1" t="s">
        <v>140</v>
      </c>
      <c r="O607">
        <v>8</v>
      </c>
      <c r="P607" s="3">
        <v>44796</v>
      </c>
      <c r="Q607">
        <v>34</v>
      </c>
    </row>
    <row r="608" spans="1:17" x14ac:dyDescent="0.3">
      <c r="A608" s="1" t="s">
        <v>903</v>
      </c>
      <c r="B608" s="2">
        <v>44796.326388888891</v>
      </c>
      <c r="C608" s="1" t="s">
        <v>37</v>
      </c>
      <c r="D608" s="1" t="s">
        <v>47</v>
      </c>
      <c r="E608" s="1" t="s">
        <v>536</v>
      </c>
      <c r="F608" s="1" t="s">
        <v>77</v>
      </c>
      <c r="G608" s="1" t="s">
        <v>77</v>
      </c>
      <c r="H608" s="1" t="s">
        <v>77</v>
      </c>
      <c r="I608" s="1" t="s">
        <v>77</v>
      </c>
      <c r="J608" s="1" t="s">
        <v>77</v>
      </c>
      <c r="K608" s="1" t="s">
        <v>77</v>
      </c>
      <c r="L608">
        <v>20220823074959</v>
      </c>
      <c r="M608" s="1" t="s">
        <v>909</v>
      </c>
      <c r="N608" s="1" t="s">
        <v>140</v>
      </c>
      <c r="O608">
        <v>8</v>
      </c>
      <c r="P608" s="3">
        <v>44796</v>
      </c>
      <c r="Q608">
        <v>34</v>
      </c>
    </row>
    <row r="609" spans="1:17" x14ac:dyDescent="0.3">
      <c r="A609" s="1" t="s">
        <v>910</v>
      </c>
      <c r="B609" s="2">
        <v>44796.326388888891</v>
      </c>
      <c r="C609" s="1" t="s">
        <v>37</v>
      </c>
      <c r="D609" s="1" t="s">
        <v>53</v>
      </c>
      <c r="E609" s="1" t="s">
        <v>54</v>
      </c>
      <c r="F609" s="1" t="s">
        <v>77</v>
      </c>
      <c r="G609" s="1" t="s">
        <v>77</v>
      </c>
      <c r="H609" s="1" t="s">
        <v>77</v>
      </c>
      <c r="I609" s="1" t="s">
        <v>77</v>
      </c>
      <c r="J609" s="1" t="s">
        <v>77</v>
      </c>
      <c r="K609" s="1" t="s">
        <v>77</v>
      </c>
      <c r="L609">
        <v>20220823075007</v>
      </c>
      <c r="M609" s="1" t="s">
        <v>911</v>
      </c>
      <c r="N609" s="1" t="s">
        <v>140</v>
      </c>
      <c r="O609">
        <v>8</v>
      </c>
      <c r="P609" s="3">
        <v>44796</v>
      </c>
      <c r="Q609">
        <v>34</v>
      </c>
    </row>
    <row r="610" spans="1:17" x14ac:dyDescent="0.3">
      <c r="A610" s="1" t="s">
        <v>910</v>
      </c>
      <c r="B610" s="2">
        <v>44796.326388888891</v>
      </c>
      <c r="C610" s="1" t="s">
        <v>37</v>
      </c>
      <c r="D610" s="1" t="s">
        <v>19</v>
      </c>
      <c r="E610" s="1" t="s">
        <v>58</v>
      </c>
      <c r="F610" s="1" t="s">
        <v>77</v>
      </c>
      <c r="G610" s="1" t="s">
        <v>77</v>
      </c>
      <c r="H610" s="1" t="s">
        <v>77</v>
      </c>
      <c r="I610" s="1" t="s">
        <v>77</v>
      </c>
      <c r="J610" s="1" t="s">
        <v>77</v>
      </c>
      <c r="K610" s="1" t="s">
        <v>77</v>
      </c>
      <c r="L610">
        <v>20220823075015</v>
      </c>
      <c r="M610" s="1" t="s">
        <v>912</v>
      </c>
      <c r="N610" s="1" t="s">
        <v>140</v>
      </c>
      <c r="O610">
        <v>8</v>
      </c>
      <c r="P610" s="3">
        <v>44796</v>
      </c>
      <c r="Q610">
        <v>34</v>
      </c>
    </row>
    <row r="611" spans="1:17" x14ac:dyDescent="0.3">
      <c r="A611" s="1" t="s">
        <v>910</v>
      </c>
      <c r="B611" s="2">
        <v>44796.326388888891</v>
      </c>
      <c r="C611" s="1" t="s">
        <v>37</v>
      </c>
      <c r="D611" s="1" t="s">
        <v>60</v>
      </c>
      <c r="E611" s="1" t="s">
        <v>61</v>
      </c>
      <c r="F611" s="1" t="s">
        <v>77</v>
      </c>
      <c r="G611" s="1" t="s">
        <v>77</v>
      </c>
      <c r="H611" s="1" t="s">
        <v>77</v>
      </c>
      <c r="I611" s="1" t="s">
        <v>77</v>
      </c>
      <c r="J611" s="1" t="s">
        <v>77</v>
      </c>
      <c r="K611" s="1" t="s">
        <v>77</v>
      </c>
      <c r="L611">
        <v>20220823075023</v>
      </c>
      <c r="M611" s="1" t="s">
        <v>913</v>
      </c>
      <c r="N611" s="1" t="s">
        <v>140</v>
      </c>
      <c r="O611">
        <v>8</v>
      </c>
      <c r="P611" s="3">
        <v>44796</v>
      </c>
      <c r="Q611">
        <v>34</v>
      </c>
    </row>
    <row r="612" spans="1:17" x14ac:dyDescent="0.3">
      <c r="A612" s="1" t="s">
        <v>910</v>
      </c>
      <c r="B612" s="2">
        <v>44796.326388888891</v>
      </c>
      <c r="C612" s="1" t="s">
        <v>37</v>
      </c>
      <c r="D612" s="1" t="s">
        <v>29</v>
      </c>
      <c r="E612" s="1" t="s">
        <v>30</v>
      </c>
      <c r="F612" s="1" t="s">
        <v>77</v>
      </c>
      <c r="G612" s="1" t="s">
        <v>77</v>
      </c>
      <c r="H612" s="1" t="s">
        <v>77</v>
      </c>
      <c r="I612" s="1" t="s">
        <v>77</v>
      </c>
      <c r="J612" s="1" t="s">
        <v>77</v>
      </c>
      <c r="K612" s="1" t="s">
        <v>77</v>
      </c>
      <c r="L612">
        <v>20220823075033</v>
      </c>
      <c r="M612" s="1" t="s">
        <v>914</v>
      </c>
      <c r="N612" s="1" t="s">
        <v>140</v>
      </c>
      <c r="O612">
        <v>8</v>
      </c>
      <c r="P612" s="3">
        <v>44796</v>
      </c>
      <c r="Q612">
        <v>34</v>
      </c>
    </row>
    <row r="613" spans="1:17" x14ac:dyDescent="0.3">
      <c r="A613" s="1" t="s">
        <v>910</v>
      </c>
      <c r="B613" s="2">
        <v>44796.326388888891</v>
      </c>
      <c r="C613" s="1" t="s">
        <v>37</v>
      </c>
      <c r="D613" s="1" t="s">
        <v>29</v>
      </c>
      <c r="E613" s="1" t="s">
        <v>554</v>
      </c>
      <c r="F613" s="1" t="s">
        <v>77</v>
      </c>
      <c r="G613" s="1" t="s">
        <v>77</v>
      </c>
      <c r="H613" s="1" t="s">
        <v>77</v>
      </c>
      <c r="I613" s="1" t="s">
        <v>77</v>
      </c>
      <c r="J613" s="1" t="s">
        <v>77</v>
      </c>
      <c r="K613" s="1" t="s">
        <v>77</v>
      </c>
      <c r="L613">
        <v>20220823075043</v>
      </c>
      <c r="M613" s="1" t="s">
        <v>915</v>
      </c>
      <c r="N613" s="1" t="s">
        <v>140</v>
      </c>
      <c r="O613">
        <v>8</v>
      </c>
      <c r="P613" s="3">
        <v>44796</v>
      </c>
      <c r="Q613">
        <v>34</v>
      </c>
    </row>
    <row r="614" spans="1:17" x14ac:dyDescent="0.3">
      <c r="A614" s="1" t="s">
        <v>910</v>
      </c>
      <c r="B614" s="2">
        <v>44796.32708333333</v>
      </c>
      <c r="C614" s="1" t="s">
        <v>168</v>
      </c>
      <c r="D614" s="1" t="s">
        <v>38</v>
      </c>
      <c r="E614" s="1" t="s">
        <v>77</v>
      </c>
      <c r="F614" s="1" t="s">
        <v>39</v>
      </c>
      <c r="G614" s="1" t="s">
        <v>916</v>
      </c>
      <c r="H614" s="1" t="s">
        <v>77</v>
      </c>
      <c r="I614" s="1" t="s">
        <v>77</v>
      </c>
      <c r="J614" s="1" t="s">
        <v>77</v>
      </c>
      <c r="K614" s="1" t="s">
        <v>77</v>
      </c>
      <c r="L614">
        <v>20220823075050</v>
      </c>
      <c r="M614" s="1" t="s">
        <v>917</v>
      </c>
      <c r="N614" s="1" t="s">
        <v>140</v>
      </c>
      <c r="O614">
        <v>8</v>
      </c>
      <c r="P614" s="3">
        <v>44796</v>
      </c>
      <c r="Q614">
        <v>34</v>
      </c>
    </row>
    <row r="615" spans="1:17" x14ac:dyDescent="0.3">
      <c r="A615" s="1" t="s">
        <v>918</v>
      </c>
      <c r="B615" s="2">
        <v>44796.32708333333</v>
      </c>
      <c r="C615" s="1" t="s">
        <v>37</v>
      </c>
      <c r="D615" s="1" t="s">
        <v>53</v>
      </c>
      <c r="E615" s="1" t="s">
        <v>56</v>
      </c>
      <c r="F615" s="1" t="s">
        <v>77</v>
      </c>
      <c r="G615" s="1" t="s">
        <v>77</v>
      </c>
      <c r="H615" s="1" t="s">
        <v>77</v>
      </c>
      <c r="I615" s="1" t="s">
        <v>77</v>
      </c>
      <c r="J615" s="1" t="s">
        <v>77</v>
      </c>
      <c r="K615" s="1" t="s">
        <v>77</v>
      </c>
      <c r="L615">
        <v>20220823075145</v>
      </c>
      <c r="M615" s="1" t="s">
        <v>919</v>
      </c>
      <c r="N615" s="1" t="s">
        <v>140</v>
      </c>
      <c r="O615">
        <v>8</v>
      </c>
      <c r="P615" s="3">
        <v>44796</v>
      </c>
      <c r="Q615">
        <v>34</v>
      </c>
    </row>
    <row r="616" spans="1:17" x14ac:dyDescent="0.3">
      <c r="A616" s="1" t="s">
        <v>920</v>
      </c>
      <c r="B616" s="2">
        <v>44797.345833333333</v>
      </c>
      <c r="C616" s="1" t="s">
        <v>37</v>
      </c>
      <c r="D616" s="1" t="s">
        <v>195</v>
      </c>
      <c r="E616" s="1" t="s">
        <v>21</v>
      </c>
      <c r="F616" s="1" t="s">
        <v>77</v>
      </c>
      <c r="G616" s="1" t="s">
        <v>77</v>
      </c>
      <c r="H616" s="1" t="s">
        <v>77</v>
      </c>
      <c r="I616" s="1" t="s">
        <v>77</v>
      </c>
      <c r="J616" s="1" t="s">
        <v>77</v>
      </c>
      <c r="K616" s="1" t="s">
        <v>77</v>
      </c>
      <c r="L616">
        <v>20220824081830</v>
      </c>
      <c r="M616" s="1" t="s">
        <v>921</v>
      </c>
      <c r="N616" s="1" t="s">
        <v>24</v>
      </c>
      <c r="O616">
        <v>8</v>
      </c>
      <c r="P616" s="3">
        <v>44797</v>
      </c>
      <c r="Q616">
        <v>34</v>
      </c>
    </row>
    <row r="617" spans="1:17" x14ac:dyDescent="0.3">
      <c r="A617" s="1" t="s">
        <v>920</v>
      </c>
      <c r="B617" s="2">
        <v>44797.345833333333</v>
      </c>
      <c r="C617" s="1" t="s">
        <v>37</v>
      </c>
      <c r="D617" s="1" t="s">
        <v>26</v>
      </c>
      <c r="E617" s="1" t="s">
        <v>27</v>
      </c>
      <c r="F617" s="1" t="s">
        <v>77</v>
      </c>
      <c r="G617" s="1" t="s">
        <v>77</v>
      </c>
      <c r="H617" s="1" t="s">
        <v>77</v>
      </c>
      <c r="I617" s="1" t="s">
        <v>77</v>
      </c>
      <c r="J617" s="1" t="s">
        <v>77</v>
      </c>
      <c r="K617" s="1" t="s">
        <v>77</v>
      </c>
      <c r="L617">
        <v>20220824081843</v>
      </c>
      <c r="M617" s="1" t="s">
        <v>922</v>
      </c>
      <c r="N617" s="1" t="s">
        <v>24</v>
      </c>
      <c r="O617">
        <v>8</v>
      </c>
      <c r="P617" s="3">
        <v>44797</v>
      </c>
      <c r="Q617">
        <v>34</v>
      </c>
    </row>
    <row r="618" spans="1:17" x14ac:dyDescent="0.3">
      <c r="A618" s="1" t="s">
        <v>920</v>
      </c>
      <c r="B618" s="2">
        <v>44797.34652777778</v>
      </c>
      <c r="C618" s="1" t="s">
        <v>37</v>
      </c>
      <c r="D618" s="1" t="s">
        <v>41</v>
      </c>
      <c r="E618" s="1" t="s">
        <v>42</v>
      </c>
      <c r="F618" s="1" t="s">
        <v>77</v>
      </c>
      <c r="G618" s="1" t="s">
        <v>77</v>
      </c>
      <c r="H618" s="1" t="s">
        <v>77</v>
      </c>
      <c r="I618" s="1" t="s">
        <v>77</v>
      </c>
      <c r="J618" s="1" t="s">
        <v>77</v>
      </c>
      <c r="K618" s="1" t="s">
        <v>77</v>
      </c>
      <c r="L618">
        <v>20220824081855</v>
      </c>
      <c r="M618" s="1" t="s">
        <v>923</v>
      </c>
      <c r="N618" s="1" t="s">
        <v>24</v>
      </c>
      <c r="O618">
        <v>8</v>
      </c>
      <c r="P618" s="3">
        <v>44797</v>
      </c>
      <c r="Q618">
        <v>34</v>
      </c>
    </row>
    <row r="619" spans="1:17" x14ac:dyDescent="0.3">
      <c r="A619" s="1" t="s">
        <v>924</v>
      </c>
      <c r="B619" s="2">
        <v>44797.34652777778</v>
      </c>
      <c r="C619" s="1" t="s">
        <v>37</v>
      </c>
      <c r="D619" s="1" t="s">
        <v>44</v>
      </c>
      <c r="E619" s="1" t="s">
        <v>45</v>
      </c>
      <c r="F619" s="1" t="s">
        <v>77</v>
      </c>
      <c r="G619" s="1" t="s">
        <v>77</v>
      </c>
      <c r="H619" s="1" t="s">
        <v>77</v>
      </c>
      <c r="I619" s="1" t="s">
        <v>77</v>
      </c>
      <c r="J619" s="1" t="s">
        <v>77</v>
      </c>
      <c r="K619" s="1" t="s">
        <v>77</v>
      </c>
      <c r="L619">
        <v>20220824081910</v>
      </c>
      <c r="M619" s="1" t="s">
        <v>925</v>
      </c>
      <c r="N619" s="1" t="s">
        <v>24</v>
      </c>
      <c r="O619">
        <v>8</v>
      </c>
      <c r="P619" s="3">
        <v>44797</v>
      </c>
      <c r="Q619">
        <v>34</v>
      </c>
    </row>
    <row r="620" spans="1:17" x14ac:dyDescent="0.3">
      <c r="A620" s="1" t="s">
        <v>924</v>
      </c>
      <c r="B620" s="2">
        <v>44797.34652777778</v>
      </c>
      <c r="C620" s="1" t="s">
        <v>37</v>
      </c>
      <c r="D620" s="1" t="s">
        <v>47</v>
      </c>
      <c r="E620" s="1" t="s">
        <v>48</v>
      </c>
      <c r="F620" s="1" t="s">
        <v>77</v>
      </c>
      <c r="G620" s="1" t="s">
        <v>77</v>
      </c>
      <c r="H620" s="1" t="s">
        <v>77</v>
      </c>
      <c r="I620" s="1" t="s">
        <v>77</v>
      </c>
      <c r="J620" s="1" t="s">
        <v>77</v>
      </c>
      <c r="K620" s="1" t="s">
        <v>77</v>
      </c>
      <c r="L620">
        <v>20220824081918</v>
      </c>
      <c r="M620" s="1" t="s">
        <v>926</v>
      </c>
      <c r="N620" s="1" t="s">
        <v>24</v>
      </c>
      <c r="O620">
        <v>8</v>
      </c>
      <c r="P620" s="3">
        <v>44797</v>
      </c>
      <c r="Q620">
        <v>34</v>
      </c>
    </row>
    <row r="621" spans="1:17" x14ac:dyDescent="0.3">
      <c r="A621" s="1" t="s">
        <v>924</v>
      </c>
      <c r="B621" s="2">
        <v>44797.34652777778</v>
      </c>
      <c r="C621" s="1" t="s">
        <v>37</v>
      </c>
      <c r="D621" s="1" t="s">
        <v>47</v>
      </c>
      <c r="E621" s="1" t="s">
        <v>51</v>
      </c>
      <c r="F621" s="1" t="s">
        <v>77</v>
      </c>
      <c r="G621" s="1" t="s">
        <v>77</v>
      </c>
      <c r="H621" s="1" t="s">
        <v>77</v>
      </c>
      <c r="I621" s="1" t="s">
        <v>77</v>
      </c>
      <c r="J621" s="1" t="s">
        <v>77</v>
      </c>
      <c r="K621" s="1" t="s">
        <v>77</v>
      </c>
      <c r="L621">
        <v>20220824081930</v>
      </c>
      <c r="M621" s="1" t="s">
        <v>927</v>
      </c>
      <c r="N621" s="1" t="s">
        <v>24</v>
      </c>
      <c r="O621">
        <v>8</v>
      </c>
      <c r="P621" s="3">
        <v>44797</v>
      </c>
      <c r="Q621">
        <v>34</v>
      </c>
    </row>
    <row r="622" spans="1:17" x14ac:dyDescent="0.3">
      <c r="A622" s="1" t="s">
        <v>924</v>
      </c>
      <c r="B622" s="2">
        <v>44797.34652777778</v>
      </c>
      <c r="C622" s="1" t="s">
        <v>37</v>
      </c>
      <c r="D622" s="1" t="s">
        <v>47</v>
      </c>
      <c r="E622" s="1" t="s">
        <v>536</v>
      </c>
      <c r="F622" s="1" t="s">
        <v>77</v>
      </c>
      <c r="G622" s="1" t="s">
        <v>77</v>
      </c>
      <c r="H622" s="1" t="s">
        <v>77</v>
      </c>
      <c r="I622" s="1" t="s">
        <v>77</v>
      </c>
      <c r="J622" s="1" t="s">
        <v>77</v>
      </c>
      <c r="K622" s="1" t="s">
        <v>77</v>
      </c>
      <c r="L622">
        <v>20220824081938</v>
      </c>
      <c r="M622" s="1" t="s">
        <v>928</v>
      </c>
      <c r="N622" s="1" t="s">
        <v>24</v>
      </c>
      <c r="O622">
        <v>8</v>
      </c>
      <c r="P622" s="3">
        <v>44797</v>
      </c>
      <c r="Q622">
        <v>34</v>
      </c>
    </row>
    <row r="623" spans="1:17" x14ac:dyDescent="0.3">
      <c r="A623" s="1" t="s">
        <v>924</v>
      </c>
      <c r="B623" s="2">
        <v>44797.34652777778</v>
      </c>
      <c r="C623" s="1" t="s">
        <v>37</v>
      </c>
      <c r="D623" s="1" t="s">
        <v>53</v>
      </c>
      <c r="E623" s="1" t="s">
        <v>54</v>
      </c>
      <c r="F623" s="1" t="s">
        <v>77</v>
      </c>
      <c r="G623" s="1" t="s">
        <v>77</v>
      </c>
      <c r="H623" s="1" t="s">
        <v>77</v>
      </c>
      <c r="I623" s="1" t="s">
        <v>77</v>
      </c>
      <c r="J623" s="1" t="s">
        <v>77</v>
      </c>
      <c r="K623" s="1" t="s">
        <v>77</v>
      </c>
      <c r="L623">
        <v>20220824081946</v>
      </c>
      <c r="M623" s="1" t="s">
        <v>929</v>
      </c>
      <c r="N623" s="1" t="s">
        <v>24</v>
      </c>
      <c r="O623">
        <v>8</v>
      </c>
      <c r="P623" s="3">
        <v>44797</v>
      </c>
      <c r="Q623">
        <v>34</v>
      </c>
    </row>
    <row r="624" spans="1:17" x14ac:dyDescent="0.3">
      <c r="A624" s="1" t="s">
        <v>924</v>
      </c>
      <c r="B624" s="2">
        <v>44797.347222222219</v>
      </c>
      <c r="C624" s="1" t="s">
        <v>37</v>
      </c>
      <c r="D624" s="1" t="s">
        <v>53</v>
      </c>
      <c r="E624" s="1" t="s">
        <v>56</v>
      </c>
      <c r="F624" s="1" t="s">
        <v>77</v>
      </c>
      <c r="G624" s="1" t="s">
        <v>77</v>
      </c>
      <c r="H624" s="1" t="s">
        <v>77</v>
      </c>
      <c r="I624" s="1" t="s">
        <v>77</v>
      </c>
      <c r="J624" s="1" t="s">
        <v>77</v>
      </c>
      <c r="K624" s="1" t="s">
        <v>77</v>
      </c>
      <c r="L624">
        <v>20220824081954</v>
      </c>
      <c r="M624" s="1" t="s">
        <v>930</v>
      </c>
      <c r="N624" s="1" t="s">
        <v>24</v>
      </c>
      <c r="O624">
        <v>8</v>
      </c>
      <c r="P624" s="3">
        <v>44797</v>
      </c>
      <c r="Q624">
        <v>34</v>
      </c>
    </row>
    <row r="625" spans="1:17" x14ac:dyDescent="0.3">
      <c r="A625" s="1" t="s">
        <v>931</v>
      </c>
      <c r="B625" s="2">
        <v>44797.347222222219</v>
      </c>
      <c r="C625" s="1" t="s">
        <v>37</v>
      </c>
      <c r="D625" s="1" t="s">
        <v>19</v>
      </c>
      <c r="E625" s="1" t="s">
        <v>58</v>
      </c>
      <c r="F625" s="1" t="s">
        <v>77</v>
      </c>
      <c r="G625" s="1" t="s">
        <v>77</v>
      </c>
      <c r="H625" s="1" t="s">
        <v>77</v>
      </c>
      <c r="I625" s="1" t="s">
        <v>77</v>
      </c>
      <c r="J625" s="1" t="s">
        <v>77</v>
      </c>
      <c r="K625" s="1" t="s">
        <v>77</v>
      </c>
      <c r="L625">
        <v>20220824082002</v>
      </c>
      <c r="M625" s="1" t="s">
        <v>932</v>
      </c>
      <c r="N625" s="1" t="s">
        <v>24</v>
      </c>
      <c r="O625">
        <v>8</v>
      </c>
      <c r="P625" s="3">
        <v>44797</v>
      </c>
      <c r="Q625">
        <v>34</v>
      </c>
    </row>
    <row r="626" spans="1:17" x14ac:dyDescent="0.3">
      <c r="A626" s="1" t="s">
        <v>931</v>
      </c>
      <c r="B626" s="2">
        <v>44797.347222222219</v>
      </c>
      <c r="C626" s="1" t="s">
        <v>37</v>
      </c>
      <c r="D626" s="1" t="s">
        <v>60</v>
      </c>
      <c r="E626" s="1" t="s">
        <v>61</v>
      </c>
      <c r="F626" s="1" t="s">
        <v>77</v>
      </c>
      <c r="G626" s="1" t="s">
        <v>77</v>
      </c>
      <c r="H626" s="1" t="s">
        <v>77</v>
      </c>
      <c r="I626" s="1" t="s">
        <v>77</v>
      </c>
      <c r="J626" s="1" t="s">
        <v>77</v>
      </c>
      <c r="K626" s="1" t="s">
        <v>77</v>
      </c>
      <c r="L626">
        <v>20220824082010</v>
      </c>
      <c r="M626" s="1" t="s">
        <v>933</v>
      </c>
      <c r="N626" s="1" t="s">
        <v>24</v>
      </c>
      <c r="O626">
        <v>8</v>
      </c>
      <c r="P626" s="3">
        <v>44797</v>
      </c>
      <c r="Q626">
        <v>34</v>
      </c>
    </row>
    <row r="627" spans="1:17" x14ac:dyDescent="0.3">
      <c r="A627" s="1" t="s">
        <v>931</v>
      </c>
      <c r="B627" s="2">
        <v>44797.347222222219</v>
      </c>
      <c r="C627" s="1" t="s">
        <v>434</v>
      </c>
      <c r="D627" s="1" t="s">
        <v>38</v>
      </c>
      <c r="E627" s="1" t="s">
        <v>77</v>
      </c>
      <c r="F627" s="1" t="s">
        <v>77</v>
      </c>
      <c r="G627" s="1" t="s">
        <v>77</v>
      </c>
      <c r="H627" s="1" t="s">
        <v>39</v>
      </c>
      <c r="I627" s="1" t="s">
        <v>858</v>
      </c>
      <c r="J627" s="1" t="s">
        <v>77</v>
      </c>
      <c r="K627" s="1" t="s">
        <v>77</v>
      </c>
      <c r="L627">
        <v>20220824082028</v>
      </c>
      <c r="M627" s="1" t="s">
        <v>934</v>
      </c>
      <c r="N627" s="1" t="s">
        <v>24</v>
      </c>
      <c r="O627">
        <v>8</v>
      </c>
      <c r="P627" s="3">
        <v>44797</v>
      </c>
      <c r="Q627">
        <v>34</v>
      </c>
    </row>
    <row r="628" spans="1:17" x14ac:dyDescent="0.3">
      <c r="A628" s="1" t="s">
        <v>931</v>
      </c>
      <c r="B628" s="2">
        <v>44797.347222222219</v>
      </c>
      <c r="C628" s="1" t="s">
        <v>18</v>
      </c>
      <c r="D628" s="1" t="s">
        <v>29</v>
      </c>
      <c r="E628" s="1" t="s">
        <v>77</v>
      </c>
      <c r="F628" s="1" t="s">
        <v>77</v>
      </c>
      <c r="G628" s="1" t="s">
        <v>77</v>
      </c>
      <c r="H628" s="1" t="s">
        <v>77</v>
      </c>
      <c r="I628" s="1" t="s">
        <v>77</v>
      </c>
      <c r="J628" s="1" t="s">
        <v>30</v>
      </c>
      <c r="K628" s="1" t="s">
        <v>175</v>
      </c>
      <c r="L628">
        <v>20220824082044</v>
      </c>
      <c r="M628" s="1" t="s">
        <v>935</v>
      </c>
      <c r="N628" s="1" t="s">
        <v>24</v>
      </c>
      <c r="O628">
        <v>8</v>
      </c>
      <c r="P628" s="3">
        <v>44797</v>
      </c>
      <c r="Q628">
        <v>34</v>
      </c>
    </row>
    <row r="629" spans="1:17" x14ac:dyDescent="0.3">
      <c r="A629" s="1" t="s">
        <v>931</v>
      </c>
      <c r="B629" s="2">
        <v>44797.347916666666</v>
      </c>
      <c r="C629" s="1" t="s">
        <v>18</v>
      </c>
      <c r="D629" s="1" t="s">
        <v>29</v>
      </c>
      <c r="E629" s="1" t="s">
        <v>77</v>
      </c>
      <c r="F629" s="1" t="s">
        <v>77</v>
      </c>
      <c r="G629" s="1" t="s">
        <v>77</v>
      </c>
      <c r="H629" s="1" t="s">
        <v>77</v>
      </c>
      <c r="I629" s="1" t="s">
        <v>77</v>
      </c>
      <c r="J629" s="1" t="s">
        <v>554</v>
      </c>
      <c r="K629" s="1" t="s">
        <v>175</v>
      </c>
      <c r="L629">
        <v>20220824082055</v>
      </c>
      <c r="M629" s="1" t="s">
        <v>936</v>
      </c>
      <c r="N629" s="1" t="s">
        <v>24</v>
      </c>
      <c r="O629">
        <v>8</v>
      </c>
      <c r="P629" s="3">
        <v>44797</v>
      </c>
      <c r="Q629">
        <v>34</v>
      </c>
    </row>
    <row r="630" spans="1:17" x14ac:dyDescent="0.3">
      <c r="A630" s="1" t="s">
        <v>937</v>
      </c>
      <c r="B630" s="2">
        <v>44798.365972222222</v>
      </c>
      <c r="C630" s="1" t="s">
        <v>37</v>
      </c>
      <c r="D630" s="1" t="s">
        <v>26</v>
      </c>
      <c r="E630" s="1" t="s">
        <v>27</v>
      </c>
      <c r="F630" s="1" t="s">
        <v>77</v>
      </c>
      <c r="G630" s="1" t="s">
        <v>77</v>
      </c>
      <c r="H630" s="1" t="s">
        <v>77</v>
      </c>
      <c r="I630" s="1" t="s">
        <v>77</v>
      </c>
      <c r="J630" s="1" t="s">
        <v>77</v>
      </c>
      <c r="K630" s="1" t="s">
        <v>77</v>
      </c>
      <c r="L630">
        <v>20220825084704</v>
      </c>
      <c r="M630" s="1" t="s">
        <v>938</v>
      </c>
      <c r="N630" s="1" t="s">
        <v>65</v>
      </c>
      <c r="O630">
        <v>8</v>
      </c>
      <c r="P630" s="3">
        <v>44798</v>
      </c>
      <c r="Q630">
        <v>34</v>
      </c>
    </row>
    <row r="631" spans="1:17" x14ac:dyDescent="0.3">
      <c r="A631" s="1" t="s">
        <v>937</v>
      </c>
      <c r="B631" s="2">
        <v>44798.365972222222</v>
      </c>
      <c r="C631" s="1" t="s">
        <v>37</v>
      </c>
      <c r="D631" s="1" t="s">
        <v>195</v>
      </c>
      <c r="E631" s="1" t="s">
        <v>21</v>
      </c>
      <c r="F631" s="1" t="s">
        <v>77</v>
      </c>
      <c r="G631" s="1" t="s">
        <v>77</v>
      </c>
      <c r="H631" s="1" t="s">
        <v>77</v>
      </c>
      <c r="I631" s="1" t="s">
        <v>77</v>
      </c>
      <c r="J631" s="1" t="s">
        <v>77</v>
      </c>
      <c r="K631" s="1" t="s">
        <v>77</v>
      </c>
      <c r="L631">
        <v>20220825084713</v>
      </c>
      <c r="M631" s="1" t="s">
        <v>939</v>
      </c>
      <c r="N631" s="1" t="s">
        <v>65</v>
      </c>
      <c r="O631">
        <v>8</v>
      </c>
      <c r="P631" s="3">
        <v>44798</v>
      </c>
      <c r="Q631">
        <v>34</v>
      </c>
    </row>
    <row r="632" spans="1:17" x14ac:dyDescent="0.3">
      <c r="A632" s="1" t="s">
        <v>937</v>
      </c>
      <c r="B632" s="2">
        <v>44798.365972222222</v>
      </c>
      <c r="C632" s="1" t="s">
        <v>37</v>
      </c>
      <c r="D632" s="1" t="s">
        <v>41</v>
      </c>
      <c r="E632" s="1" t="s">
        <v>42</v>
      </c>
      <c r="F632" s="1" t="s">
        <v>77</v>
      </c>
      <c r="G632" s="1" t="s">
        <v>77</v>
      </c>
      <c r="H632" s="1" t="s">
        <v>77</v>
      </c>
      <c r="I632" s="1" t="s">
        <v>77</v>
      </c>
      <c r="J632" s="1" t="s">
        <v>77</v>
      </c>
      <c r="K632" s="1" t="s">
        <v>77</v>
      </c>
      <c r="L632">
        <v>20220825084734</v>
      </c>
      <c r="M632" s="1" t="s">
        <v>940</v>
      </c>
      <c r="N632" s="1" t="s">
        <v>65</v>
      </c>
      <c r="O632">
        <v>8</v>
      </c>
      <c r="P632" s="3">
        <v>44798</v>
      </c>
      <c r="Q632">
        <v>34</v>
      </c>
    </row>
    <row r="633" spans="1:17" x14ac:dyDescent="0.3">
      <c r="A633" s="1" t="s">
        <v>937</v>
      </c>
      <c r="B633" s="2">
        <v>44798.366666666669</v>
      </c>
      <c r="C633" s="1" t="s">
        <v>37</v>
      </c>
      <c r="D633" s="1" t="s">
        <v>44</v>
      </c>
      <c r="E633" s="1" t="s">
        <v>45</v>
      </c>
      <c r="F633" s="1" t="s">
        <v>77</v>
      </c>
      <c r="G633" s="1" t="s">
        <v>77</v>
      </c>
      <c r="H633" s="1" t="s">
        <v>77</v>
      </c>
      <c r="I633" s="1" t="s">
        <v>77</v>
      </c>
      <c r="J633" s="1" t="s">
        <v>77</v>
      </c>
      <c r="K633" s="1" t="s">
        <v>77</v>
      </c>
      <c r="L633">
        <v>20220825084754</v>
      </c>
      <c r="M633" s="1" t="s">
        <v>941</v>
      </c>
      <c r="N633" s="1" t="s">
        <v>65</v>
      </c>
      <c r="O633">
        <v>8</v>
      </c>
      <c r="P633" s="3">
        <v>44798</v>
      </c>
      <c r="Q633">
        <v>34</v>
      </c>
    </row>
    <row r="634" spans="1:17" x14ac:dyDescent="0.3">
      <c r="A634" s="1" t="s">
        <v>942</v>
      </c>
      <c r="B634" s="2">
        <v>44798.366666666669</v>
      </c>
      <c r="C634" s="1" t="s">
        <v>37</v>
      </c>
      <c r="D634" s="1" t="s">
        <v>47</v>
      </c>
      <c r="E634" s="1" t="s">
        <v>48</v>
      </c>
      <c r="F634" s="1" t="s">
        <v>77</v>
      </c>
      <c r="G634" s="1" t="s">
        <v>77</v>
      </c>
      <c r="H634" s="1" t="s">
        <v>77</v>
      </c>
      <c r="I634" s="1" t="s">
        <v>77</v>
      </c>
      <c r="J634" s="1" t="s">
        <v>77</v>
      </c>
      <c r="K634" s="1" t="s">
        <v>77</v>
      </c>
      <c r="L634">
        <v>20220825084828</v>
      </c>
      <c r="M634" s="1" t="s">
        <v>943</v>
      </c>
      <c r="N634" s="1" t="s">
        <v>65</v>
      </c>
      <c r="O634">
        <v>8</v>
      </c>
      <c r="P634" s="3">
        <v>44798</v>
      </c>
      <c r="Q634">
        <v>34</v>
      </c>
    </row>
    <row r="635" spans="1:17" x14ac:dyDescent="0.3">
      <c r="A635" s="1" t="s">
        <v>942</v>
      </c>
      <c r="B635" s="2">
        <v>44798.366666666669</v>
      </c>
      <c r="C635" s="1" t="s">
        <v>37</v>
      </c>
      <c r="D635" s="1" t="s">
        <v>47</v>
      </c>
      <c r="E635" s="1" t="s">
        <v>51</v>
      </c>
      <c r="F635" s="1" t="s">
        <v>77</v>
      </c>
      <c r="G635" s="1" t="s">
        <v>77</v>
      </c>
      <c r="H635" s="1" t="s">
        <v>77</v>
      </c>
      <c r="I635" s="1" t="s">
        <v>77</v>
      </c>
      <c r="J635" s="1" t="s">
        <v>77</v>
      </c>
      <c r="K635" s="1" t="s">
        <v>77</v>
      </c>
      <c r="L635">
        <v>20220825084839</v>
      </c>
      <c r="M635" s="1" t="s">
        <v>944</v>
      </c>
      <c r="N635" s="1" t="s">
        <v>65</v>
      </c>
      <c r="O635">
        <v>8</v>
      </c>
      <c r="P635" s="3">
        <v>44798</v>
      </c>
      <c r="Q635">
        <v>34</v>
      </c>
    </row>
    <row r="636" spans="1:17" x14ac:dyDescent="0.3">
      <c r="A636" s="1" t="s">
        <v>942</v>
      </c>
      <c r="B636" s="2">
        <v>44798.366666666669</v>
      </c>
      <c r="C636" s="1" t="s">
        <v>37</v>
      </c>
      <c r="D636" s="1" t="s">
        <v>47</v>
      </c>
      <c r="E636" s="1" t="s">
        <v>536</v>
      </c>
      <c r="F636" s="1" t="s">
        <v>77</v>
      </c>
      <c r="G636" s="1" t="s">
        <v>77</v>
      </c>
      <c r="H636" s="1" t="s">
        <v>77</v>
      </c>
      <c r="I636" s="1" t="s">
        <v>77</v>
      </c>
      <c r="J636" s="1" t="s">
        <v>77</v>
      </c>
      <c r="K636" s="1" t="s">
        <v>77</v>
      </c>
      <c r="L636">
        <v>20220825084847</v>
      </c>
      <c r="M636" s="1" t="s">
        <v>945</v>
      </c>
      <c r="N636" s="1" t="s">
        <v>65</v>
      </c>
      <c r="O636">
        <v>8</v>
      </c>
      <c r="P636" s="3">
        <v>44798</v>
      </c>
      <c r="Q636">
        <v>34</v>
      </c>
    </row>
    <row r="637" spans="1:17" x14ac:dyDescent="0.3">
      <c r="A637" s="1" t="s">
        <v>942</v>
      </c>
      <c r="B637" s="2">
        <v>44798.367361111108</v>
      </c>
      <c r="C637" s="1" t="s">
        <v>37</v>
      </c>
      <c r="D637" s="1" t="s">
        <v>53</v>
      </c>
      <c r="E637" s="1" t="s">
        <v>54</v>
      </c>
      <c r="F637" s="1" t="s">
        <v>77</v>
      </c>
      <c r="G637" s="1" t="s">
        <v>77</v>
      </c>
      <c r="H637" s="1" t="s">
        <v>77</v>
      </c>
      <c r="I637" s="1" t="s">
        <v>77</v>
      </c>
      <c r="J637" s="1" t="s">
        <v>77</v>
      </c>
      <c r="K637" s="1" t="s">
        <v>77</v>
      </c>
      <c r="L637">
        <v>20220825084855</v>
      </c>
      <c r="M637" s="1" t="s">
        <v>946</v>
      </c>
      <c r="N637" s="1" t="s">
        <v>65</v>
      </c>
      <c r="O637">
        <v>8</v>
      </c>
      <c r="P637" s="3">
        <v>44798</v>
      </c>
      <c r="Q637">
        <v>34</v>
      </c>
    </row>
    <row r="638" spans="1:17" x14ac:dyDescent="0.3">
      <c r="A638" s="1" t="s">
        <v>947</v>
      </c>
      <c r="B638" s="2">
        <v>44798.367361111108</v>
      </c>
      <c r="C638" s="1" t="s">
        <v>37</v>
      </c>
      <c r="D638" s="1" t="s">
        <v>53</v>
      </c>
      <c r="E638" s="1" t="s">
        <v>56</v>
      </c>
      <c r="F638" s="1" t="s">
        <v>77</v>
      </c>
      <c r="G638" s="1" t="s">
        <v>77</v>
      </c>
      <c r="H638" s="1" t="s">
        <v>77</v>
      </c>
      <c r="I638" s="1" t="s">
        <v>77</v>
      </c>
      <c r="J638" s="1" t="s">
        <v>77</v>
      </c>
      <c r="K638" s="1" t="s">
        <v>77</v>
      </c>
      <c r="L638">
        <v>20220825084904</v>
      </c>
      <c r="M638" s="1" t="s">
        <v>948</v>
      </c>
      <c r="N638" s="1" t="s">
        <v>65</v>
      </c>
      <c r="O638">
        <v>8</v>
      </c>
      <c r="P638" s="3">
        <v>44798</v>
      </c>
      <c r="Q638">
        <v>34</v>
      </c>
    </row>
    <row r="639" spans="1:17" x14ac:dyDescent="0.3">
      <c r="A639" s="1" t="s">
        <v>949</v>
      </c>
      <c r="B639" s="2">
        <v>44798.368055555555</v>
      </c>
      <c r="C639" s="1" t="s">
        <v>37</v>
      </c>
      <c r="D639" s="1" t="s">
        <v>19</v>
      </c>
      <c r="E639" s="1" t="s">
        <v>58</v>
      </c>
      <c r="F639" s="1" t="s">
        <v>77</v>
      </c>
      <c r="G639" s="1" t="s">
        <v>77</v>
      </c>
      <c r="H639" s="1" t="s">
        <v>77</v>
      </c>
      <c r="I639" s="1" t="s">
        <v>77</v>
      </c>
      <c r="J639" s="1" t="s">
        <v>77</v>
      </c>
      <c r="K639" s="1" t="s">
        <v>77</v>
      </c>
      <c r="L639">
        <v>20220825085029</v>
      </c>
      <c r="M639" s="1" t="s">
        <v>950</v>
      </c>
      <c r="N639" s="1" t="s">
        <v>65</v>
      </c>
      <c r="O639">
        <v>8</v>
      </c>
      <c r="P639" s="3">
        <v>44798</v>
      </c>
      <c r="Q639">
        <v>34</v>
      </c>
    </row>
    <row r="640" spans="1:17" x14ac:dyDescent="0.3">
      <c r="A640" s="1" t="s">
        <v>949</v>
      </c>
      <c r="B640" s="2">
        <v>44798.368055555555</v>
      </c>
      <c r="C640" s="1" t="s">
        <v>37</v>
      </c>
      <c r="D640" s="1" t="s">
        <v>60</v>
      </c>
      <c r="E640" s="1" t="s">
        <v>61</v>
      </c>
      <c r="F640" s="1" t="s">
        <v>77</v>
      </c>
      <c r="G640" s="1" t="s">
        <v>77</v>
      </c>
      <c r="H640" s="1" t="s">
        <v>77</v>
      </c>
      <c r="I640" s="1" t="s">
        <v>77</v>
      </c>
      <c r="J640" s="1" t="s">
        <v>77</v>
      </c>
      <c r="K640" s="1" t="s">
        <v>77</v>
      </c>
      <c r="L640">
        <v>20220825085039</v>
      </c>
      <c r="M640" s="1" t="s">
        <v>951</v>
      </c>
      <c r="N640" s="1" t="s">
        <v>65</v>
      </c>
      <c r="O640">
        <v>8</v>
      </c>
      <c r="P640" s="3">
        <v>44798</v>
      </c>
      <c r="Q640">
        <v>34</v>
      </c>
    </row>
    <row r="641" spans="1:17" x14ac:dyDescent="0.3">
      <c r="A641" s="1" t="s">
        <v>949</v>
      </c>
      <c r="B641" s="2">
        <v>44798.368055555555</v>
      </c>
      <c r="C641" s="1" t="s">
        <v>37</v>
      </c>
      <c r="D641" s="1" t="s">
        <v>29</v>
      </c>
      <c r="E641" s="1" t="s">
        <v>30</v>
      </c>
      <c r="F641" s="1" t="s">
        <v>77</v>
      </c>
      <c r="G641" s="1" t="s">
        <v>77</v>
      </c>
      <c r="H641" s="1" t="s">
        <v>77</v>
      </c>
      <c r="I641" s="1" t="s">
        <v>77</v>
      </c>
      <c r="J641" s="1" t="s">
        <v>77</v>
      </c>
      <c r="K641" s="1" t="s">
        <v>77</v>
      </c>
      <c r="L641">
        <v>20220825085048</v>
      </c>
      <c r="M641" s="1" t="s">
        <v>952</v>
      </c>
      <c r="N641" s="1" t="s">
        <v>65</v>
      </c>
      <c r="O641">
        <v>8</v>
      </c>
      <c r="P641" s="3">
        <v>44798</v>
      </c>
      <c r="Q641">
        <v>34</v>
      </c>
    </row>
    <row r="642" spans="1:17" x14ac:dyDescent="0.3">
      <c r="A642" s="1" t="s">
        <v>949</v>
      </c>
      <c r="B642" s="2">
        <v>44798.368750000001</v>
      </c>
      <c r="C642" s="1" t="s">
        <v>37</v>
      </c>
      <c r="D642" s="1" t="s">
        <v>29</v>
      </c>
      <c r="E642" s="1" t="s">
        <v>554</v>
      </c>
      <c r="F642" s="1" t="s">
        <v>77</v>
      </c>
      <c r="G642" s="1" t="s">
        <v>77</v>
      </c>
      <c r="H642" s="1" t="s">
        <v>77</v>
      </c>
      <c r="I642" s="1" t="s">
        <v>77</v>
      </c>
      <c r="J642" s="1" t="s">
        <v>77</v>
      </c>
      <c r="K642" s="1" t="s">
        <v>77</v>
      </c>
      <c r="L642">
        <v>20220825085059</v>
      </c>
      <c r="M642" s="1" t="s">
        <v>953</v>
      </c>
      <c r="N642" s="1" t="s">
        <v>65</v>
      </c>
      <c r="O642">
        <v>8</v>
      </c>
      <c r="P642" s="3">
        <v>44798</v>
      </c>
      <c r="Q642">
        <v>34</v>
      </c>
    </row>
    <row r="643" spans="1:17" x14ac:dyDescent="0.3">
      <c r="A643" s="1" t="s">
        <v>954</v>
      </c>
      <c r="B643" s="2">
        <v>44798.368750000001</v>
      </c>
      <c r="C643" s="1" t="s">
        <v>434</v>
      </c>
      <c r="D643" s="1" t="s">
        <v>38</v>
      </c>
      <c r="E643" s="1" t="s">
        <v>77</v>
      </c>
      <c r="F643" s="1" t="s">
        <v>77</v>
      </c>
      <c r="G643" s="1" t="s">
        <v>77</v>
      </c>
      <c r="H643" s="1" t="s">
        <v>39</v>
      </c>
      <c r="I643" s="1" t="s">
        <v>858</v>
      </c>
      <c r="J643" s="1" t="s">
        <v>77</v>
      </c>
      <c r="K643" s="1" t="s">
        <v>77</v>
      </c>
      <c r="L643">
        <v>20220825085111</v>
      </c>
      <c r="M643" s="1" t="s">
        <v>955</v>
      </c>
      <c r="N643" s="1" t="s">
        <v>65</v>
      </c>
      <c r="O643">
        <v>8</v>
      </c>
      <c r="P643" s="3">
        <v>44798</v>
      </c>
      <c r="Q643">
        <v>34</v>
      </c>
    </row>
    <row r="644" spans="1:17" x14ac:dyDescent="0.3">
      <c r="A644" s="1" t="s">
        <v>956</v>
      </c>
      <c r="B644" s="2">
        <v>44799.461111111108</v>
      </c>
      <c r="C644" s="1" t="s">
        <v>37</v>
      </c>
      <c r="D644" s="1" t="s">
        <v>26</v>
      </c>
      <c r="E644" s="1" t="s">
        <v>27</v>
      </c>
      <c r="F644" s="1" t="s">
        <v>77</v>
      </c>
      <c r="G644" s="1" t="s">
        <v>77</v>
      </c>
      <c r="H644" s="1" t="s">
        <v>77</v>
      </c>
      <c r="I644" s="1" t="s">
        <v>77</v>
      </c>
      <c r="J644" s="1" t="s">
        <v>77</v>
      </c>
      <c r="K644" s="1" t="s">
        <v>77</v>
      </c>
      <c r="L644">
        <v>20220826110421</v>
      </c>
      <c r="M644" s="1" t="s">
        <v>957</v>
      </c>
      <c r="N644" s="1" t="s">
        <v>65</v>
      </c>
      <c r="O644">
        <v>8</v>
      </c>
      <c r="P644" s="3">
        <v>44799</v>
      </c>
      <c r="Q644">
        <v>34</v>
      </c>
    </row>
    <row r="645" spans="1:17" x14ac:dyDescent="0.3">
      <c r="A645" s="1" t="s">
        <v>958</v>
      </c>
      <c r="B645" s="2">
        <v>44799.461111111108</v>
      </c>
      <c r="C645" s="1" t="s">
        <v>37</v>
      </c>
      <c r="D645" s="1" t="s">
        <v>195</v>
      </c>
      <c r="E645" s="1" t="s">
        <v>21</v>
      </c>
      <c r="F645" s="1" t="s">
        <v>77</v>
      </c>
      <c r="G645" s="1" t="s">
        <v>77</v>
      </c>
      <c r="H645" s="1" t="s">
        <v>77</v>
      </c>
      <c r="I645" s="1" t="s">
        <v>77</v>
      </c>
      <c r="J645" s="1" t="s">
        <v>77</v>
      </c>
      <c r="K645" s="1" t="s">
        <v>77</v>
      </c>
      <c r="L645">
        <v>20220826110430</v>
      </c>
      <c r="M645" s="1" t="s">
        <v>959</v>
      </c>
      <c r="N645" s="1" t="s">
        <v>84</v>
      </c>
      <c r="O645">
        <v>8</v>
      </c>
      <c r="P645" s="3">
        <v>44799</v>
      </c>
      <c r="Q645">
        <v>34</v>
      </c>
    </row>
    <row r="646" spans="1:17" x14ac:dyDescent="0.3">
      <c r="A646" s="1" t="s">
        <v>958</v>
      </c>
      <c r="B646" s="2">
        <v>44799.461111111108</v>
      </c>
      <c r="C646" s="1" t="s">
        <v>37</v>
      </c>
      <c r="D646" s="1" t="s">
        <v>38</v>
      </c>
      <c r="E646" s="1" t="s">
        <v>39</v>
      </c>
      <c r="F646" s="1" t="s">
        <v>77</v>
      </c>
      <c r="G646" s="1" t="s">
        <v>77</v>
      </c>
      <c r="H646" s="1" t="s">
        <v>77</v>
      </c>
      <c r="I646" s="1" t="s">
        <v>77</v>
      </c>
      <c r="J646" s="1" t="s">
        <v>77</v>
      </c>
      <c r="K646" s="1" t="s">
        <v>77</v>
      </c>
      <c r="L646">
        <v>20220826110440</v>
      </c>
      <c r="M646" s="1" t="s">
        <v>960</v>
      </c>
      <c r="N646" s="1" t="s">
        <v>84</v>
      </c>
      <c r="O646">
        <v>8</v>
      </c>
      <c r="P646" s="3">
        <v>44799</v>
      </c>
      <c r="Q646">
        <v>34</v>
      </c>
    </row>
    <row r="647" spans="1:17" x14ac:dyDescent="0.3">
      <c r="A647" s="1" t="s">
        <v>958</v>
      </c>
      <c r="B647" s="2">
        <v>44799.461111111108</v>
      </c>
      <c r="C647" s="1" t="s">
        <v>37</v>
      </c>
      <c r="D647" s="1" t="s">
        <v>41</v>
      </c>
      <c r="E647" s="1" t="s">
        <v>42</v>
      </c>
      <c r="F647" s="1" t="s">
        <v>77</v>
      </c>
      <c r="G647" s="1" t="s">
        <v>77</v>
      </c>
      <c r="H647" s="1" t="s">
        <v>77</v>
      </c>
      <c r="I647" s="1" t="s">
        <v>77</v>
      </c>
      <c r="J647" s="1" t="s">
        <v>77</v>
      </c>
      <c r="K647" s="1" t="s">
        <v>77</v>
      </c>
      <c r="L647">
        <v>20220826110449</v>
      </c>
      <c r="M647" s="1" t="s">
        <v>961</v>
      </c>
      <c r="N647" s="1" t="s">
        <v>84</v>
      </c>
      <c r="O647">
        <v>8</v>
      </c>
      <c r="P647" s="3">
        <v>44799</v>
      </c>
      <c r="Q647">
        <v>34</v>
      </c>
    </row>
    <row r="648" spans="1:17" x14ac:dyDescent="0.3">
      <c r="A648" s="1" t="s">
        <v>958</v>
      </c>
      <c r="B648" s="2">
        <v>44799.461805555555</v>
      </c>
      <c r="C648" s="1" t="s">
        <v>37</v>
      </c>
      <c r="D648" s="1" t="s">
        <v>44</v>
      </c>
      <c r="E648" s="1" t="s">
        <v>45</v>
      </c>
      <c r="F648" s="1" t="s">
        <v>77</v>
      </c>
      <c r="G648" s="1" t="s">
        <v>77</v>
      </c>
      <c r="H648" s="1" t="s">
        <v>77</v>
      </c>
      <c r="I648" s="1" t="s">
        <v>77</v>
      </c>
      <c r="J648" s="1" t="s">
        <v>77</v>
      </c>
      <c r="K648" s="1" t="s">
        <v>77</v>
      </c>
      <c r="L648">
        <v>20220826110457</v>
      </c>
      <c r="M648" s="1" t="s">
        <v>962</v>
      </c>
      <c r="N648" s="1" t="s">
        <v>84</v>
      </c>
      <c r="O648">
        <v>8</v>
      </c>
      <c r="P648" s="3">
        <v>44799</v>
      </c>
      <c r="Q648">
        <v>34</v>
      </c>
    </row>
    <row r="649" spans="1:17" x14ac:dyDescent="0.3">
      <c r="A649" s="1" t="s">
        <v>963</v>
      </c>
      <c r="B649" s="2">
        <v>44799.461805555555</v>
      </c>
      <c r="C649" s="1" t="s">
        <v>37</v>
      </c>
      <c r="D649" s="1" t="s">
        <v>47</v>
      </c>
      <c r="E649" s="1" t="s">
        <v>48</v>
      </c>
      <c r="F649" s="1" t="s">
        <v>77</v>
      </c>
      <c r="G649" s="1" t="s">
        <v>77</v>
      </c>
      <c r="H649" s="1" t="s">
        <v>77</v>
      </c>
      <c r="I649" s="1" t="s">
        <v>77</v>
      </c>
      <c r="J649" s="1" t="s">
        <v>77</v>
      </c>
      <c r="K649" s="1" t="s">
        <v>77</v>
      </c>
      <c r="L649">
        <v>20220826110505</v>
      </c>
      <c r="M649" s="1" t="s">
        <v>964</v>
      </c>
      <c r="N649" s="1" t="s">
        <v>84</v>
      </c>
      <c r="O649">
        <v>8</v>
      </c>
      <c r="P649" s="3">
        <v>44799</v>
      </c>
      <c r="Q649">
        <v>34</v>
      </c>
    </row>
    <row r="650" spans="1:17" x14ac:dyDescent="0.3">
      <c r="A650" s="1" t="s">
        <v>963</v>
      </c>
      <c r="B650" s="2">
        <v>44799.461805555555</v>
      </c>
      <c r="C650" s="1" t="s">
        <v>37</v>
      </c>
      <c r="D650" s="1" t="s">
        <v>47</v>
      </c>
      <c r="E650" s="1" t="s">
        <v>51</v>
      </c>
      <c r="F650" s="1" t="s">
        <v>77</v>
      </c>
      <c r="G650" s="1" t="s">
        <v>77</v>
      </c>
      <c r="H650" s="1" t="s">
        <v>77</v>
      </c>
      <c r="I650" s="1" t="s">
        <v>77</v>
      </c>
      <c r="J650" s="1" t="s">
        <v>77</v>
      </c>
      <c r="K650" s="1" t="s">
        <v>77</v>
      </c>
      <c r="L650">
        <v>20220826110512</v>
      </c>
      <c r="M650" s="1" t="s">
        <v>965</v>
      </c>
      <c r="N650" s="1" t="s">
        <v>84</v>
      </c>
      <c r="O650">
        <v>8</v>
      </c>
      <c r="P650" s="3">
        <v>44799</v>
      </c>
      <c r="Q650">
        <v>34</v>
      </c>
    </row>
    <row r="651" spans="1:17" x14ac:dyDescent="0.3">
      <c r="A651" s="1" t="s">
        <v>963</v>
      </c>
      <c r="B651" s="2">
        <v>44799.461805555555</v>
      </c>
      <c r="C651" s="1" t="s">
        <v>37</v>
      </c>
      <c r="D651" s="1" t="s">
        <v>47</v>
      </c>
      <c r="E651" s="1" t="s">
        <v>536</v>
      </c>
      <c r="F651" s="1" t="s">
        <v>77</v>
      </c>
      <c r="G651" s="1" t="s">
        <v>77</v>
      </c>
      <c r="H651" s="1" t="s">
        <v>77</v>
      </c>
      <c r="I651" s="1" t="s">
        <v>77</v>
      </c>
      <c r="J651" s="1" t="s">
        <v>77</v>
      </c>
      <c r="K651" s="1" t="s">
        <v>77</v>
      </c>
      <c r="L651">
        <v>20220826110519</v>
      </c>
      <c r="M651" s="1" t="s">
        <v>966</v>
      </c>
      <c r="N651" s="1" t="s">
        <v>84</v>
      </c>
      <c r="O651">
        <v>8</v>
      </c>
      <c r="P651" s="3">
        <v>44799</v>
      </c>
      <c r="Q651">
        <v>34</v>
      </c>
    </row>
    <row r="652" spans="1:17" x14ac:dyDescent="0.3">
      <c r="A652" s="1" t="s">
        <v>963</v>
      </c>
      <c r="B652" s="2">
        <v>44799.461805555555</v>
      </c>
      <c r="C652" s="1" t="s">
        <v>37</v>
      </c>
      <c r="D652" s="1" t="s">
        <v>53</v>
      </c>
      <c r="E652" s="1" t="s">
        <v>54</v>
      </c>
      <c r="F652" s="1" t="s">
        <v>77</v>
      </c>
      <c r="G652" s="1" t="s">
        <v>77</v>
      </c>
      <c r="H652" s="1" t="s">
        <v>77</v>
      </c>
      <c r="I652" s="1" t="s">
        <v>77</v>
      </c>
      <c r="J652" s="1" t="s">
        <v>77</v>
      </c>
      <c r="K652" s="1" t="s">
        <v>77</v>
      </c>
      <c r="L652">
        <v>20220826110525</v>
      </c>
      <c r="M652" s="1" t="s">
        <v>967</v>
      </c>
      <c r="N652" s="1" t="s">
        <v>84</v>
      </c>
      <c r="O652">
        <v>8</v>
      </c>
      <c r="P652" s="3">
        <v>44799</v>
      </c>
      <c r="Q652">
        <v>34</v>
      </c>
    </row>
    <row r="653" spans="1:17" x14ac:dyDescent="0.3">
      <c r="A653" s="1" t="s">
        <v>963</v>
      </c>
      <c r="B653" s="2">
        <v>44799.461805555555</v>
      </c>
      <c r="C653" s="1" t="s">
        <v>37</v>
      </c>
      <c r="D653" s="1" t="s">
        <v>19</v>
      </c>
      <c r="E653" s="1" t="s">
        <v>58</v>
      </c>
      <c r="F653" s="1" t="s">
        <v>77</v>
      </c>
      <c r="G653" s="1" t="s">
        <v>77</v>
      </c>
      <c r="H653" s="1" t="s">
        <v>77</v>
      </c>
      <c r="I653" s="1" t="s">
        <v>77</v>
      </c>
      <c r="J653" s="1" t="s">
        <v>77</v>
      </c>
      <c r="K653" s="1" t="s">
        <v>77</v>
      </c>
      <c r="L653">
        <v>20220826110534</v>
      </c>
      <c r="M653" s="1" t="s">
        <v>968</v>
      </c>
      <c r="N653" s="1" t="s">
        <v>84</v>
      </c>
      <c r="O653">
        <v>8</v>
      </c>
      <c r="P653" s="3">
        <v>44799</v>
      </c>
      <c r="Q653">
        <v>34</v>
      </c>
    </row>
    <row r="654" spans="1:17" x14ac:dyDescent="0.3">
      <c r="A654" s="1" t="s">
        <v>963</v>
      </c>
      <c r="B654" s="2">
        <v>44799.461805555555</v>
      </c>
      <c r="C654" s="1" t="s">
        <v>37</v>
      </c>
      <c r="D654" s="1" t="s">
        <v>60</v>
      </c>
      <c r="E654" s="1" t="s">
        <v>61</v>
      </c>
      <c r="F654" s="1" t="s">
        <v>77</v>
      </c>
      <c r="G654" s="1" t="s">
        <v>77</v>
      </c>
      <c r="H654" s="1" t="s">
        <v>77</v>
      </c>
      <c r="I654" s="1" t="s">
        <v>77</v>
      </c>
      <c r="J654" s="1" t="s">
        <v>77</v>
      </c>
      <c r="K654" s="1" t="s">
        <v>77</v>
      </c>
      <c r="L654">
        <v>20220826110542</v>
      </c>
      <c r="M654" s="1" t="s">
        <v>969</v>
      </c>
      <c r="N654" s="1" t="s">
        <v>84</v>
      </c>
      <c r="O654">
        <v>8</v>
      </c>
      <c r="P654" s="3">
        <v>44799</v>
      </c>
      <c r="Q654">
        <v>34</v>
      </c>
    </row>
    <row r="655" spans="1:17" x14ac:dyDescent="0.3">
      <c r="A655" s="1" t="s">
        <v>963</v>
      </c>
      <c r="B655" s="2">
        <v>44799.461805555555</v>
      </c>
      <c r="C655" s="1" t="s">
        <v>37</v>
      </c>
      <c r="D655" s="1" t="s">
        <v>29</v>
      </c>
      <c r="E655" s="1" t="s">
        <v>30</v>
      </c>
      <c r="F655" s="1" t="s">
        <v>77</v>
      </c>
      <c r="G655" s="1" t="s">
        <v>77</v>
      </c>
      <c r="H655" s="1" t="s">
        <v>77</v>
      </c>
      <c r="I655" s="1" t="s">
        <v>77</v>
      </c>
      <c r="J655" s="1" t="s">
        <v>77</v>
      </c>
      <c r="K655" s="1" t="s">
        <v>77</v>
      </c>
      <c r="L655">
        <v>20220826110550</v>
      </c>
      <c r="M655" s="1" t="s">
        <v>970</v>
      </c>
      <c r="N655" s="1" t="s">
        <v>84</v>
      </c>
      <c r="O655">
        <v>8</v>
      </c>
      <c r="P655" s="3">
        <v>44799</v>
      </c>
      <c r="Q655">
        <v>34</v>
      </c>
    </row>
    <row r="656" spans="1:17" x14ac:dyDescent="0.3">
      <c r="A656" s="1" t="s">
        <v>971</v>
      </c>
      <c r="B656" s="2">
        <v>44799.462500000001</v>
      </c>
      <c r="C656" s="1" t="s">
        <v>37</v>
      </c>
      <c r="D656" s="1" t="s">
        <v>53</v>
      </c>
      <c r="E656" s="1" t="s">
        <v>56</v>
      </c>
      <c r="F656" s="1" t="s">
        <v>77</v>
      </c>
      <c r="G656" s="1" t="s">
        <v>77</v>
      </c>
      <c r="H656" s="1" t="s">
        <v>77</v>
      </c>
      <c r="I656" s="1" t="s">
        <v>77</v>
      </c>
      <c r="J656" s="1" t="s">
        <v>20</v>
      </c>
      <c r="K656" s="1" t="s">
        <v>20</v>
      </c>
      <c r="L656">
        <v>20220826110600</v>
      </c>
      <c r="M656" s="1" t="s">
        <v>972</v>
      </c>
      <c r="N656" s="1" t="s">
        <v>84</v>
      </c>
      <c r="O656">
        <v>8</v>
      </c>
      <c r="P656" s="3">
        <v>44799</v>
      </c>
      <c r="Q656">
        <v>34</v>
      </c>
    </row>
    <row r="657" spans="1:17" x14ac:dyDescent="0.3">
      <c r="A657" s="1" t="s">
        <v>971</v>
      </c>
      <c r="B657" s="2">
        <v>44799.462500000001</v>
      </c>
      <c r="C657" s="1" t="s">
        <v>18</v>
      </c>
      <c r="D657" s="1" t="s">
        <v>29</v>
      </c>
      <c r="E657" s="1" t="s">
        <v>77</v>
      </c>
      <c r="F657" s="1" t="s">
        <v>77</v>
      </c>
      <c r="G657" s="1" t="s">
        <v>77</v>
      </c>
      <c r="H657" s="1" t="s">
        <v>77</v>
      </c>
      <c r="I657" s="1" t="s">
        <v>77</v>
      </c>
      <c r="J657" s="1" t="s">
        <v>554</v>
      </c>
      <c r="K657" s="1" t="s">
        <v>331</v>
      </c>
      <c r="L657">
        <v>20220826110618</v>
      </c>
      <c r="M657" s="1" t="s">
        <v>973</v>
      </c>
      <c r="N657" s="1" t="s">
        <v>84</v>
      </c>
      <c r="O657">
        <v>8</v>
      </c>
      <c r="P657" s="3">
        <v>44799</v>
      </c>
      <c r="Q657">
        <v>34</v>
      </c>
    </row>
    <row r="658" spans="1:17" x14ac:dyDescent="0.3">
      <c r="A658" s="1" t="s">
        <v>974</v>
      </c>
      <c r="B658" s="2">
        <v>44799.463888888888</v>
      </c>
      <c r="C658" s="1" t="s">
        <v>37</v>
      </c>
      <c r="D658" s="1" t="s">
        <v>26</v>
      </c>
      <c r="E658" s="1" t="s">
        <v>27</v>
      </c>
      <c r="F658" s="1" t="s">
        <v>77</v>
      </c>
      <c r="G658" s="1" t="s">
        <v>77</v>
      </c>
      <c r="H658" s="1" t="s">
        <v>77</v>
      </c>
      <c r="I658" s="1" t="s">
        <v>77</v>
      </c>
      <c r="J658" s="1" t="s">
        <v>77</v>
      </c>
      <c r="K658" s="1" t="s">
        <v>77</v>
      </c>
      <c r="L658">
        <v>20220826110855</v>
      </c>
      <c r="M658" s="1" t="s">
        <v>975</v>
      </c>
      <c r="N658" s="1" t="s">
        <v>84</v>
      </c>
      <c r="O658">
        <v>8</v>
      </c>
      <c r="P658" s="3">
        <v>44799</v>
      </c>
      <c r="Q658">
        <v>34</v>
      </c>
    </row>
    <row r="659" spans="1:17" x14ac:dyDescent="0.3">
      <c r="A659" s="1" t="s">
        <v>976</v>
      </c>
      <c r="B659" s="2">
        <v>44800.398611111108</v>
      </c>
      <c r="C659" s="1" t="s">
        <v>37</v>
      </c>
      <c r="D659" s="1" t="s">
        <v>38</v>
      </c>
      <c r="E659" s="1" t="s">
        <v>39</v>
      </c>
      <c r="F659" s="1" t="s">
        <v>77</v>
      </c>
      <c r="G659" s="1" t="s">
        <v>77</v>
      </c>
      <c r="H659" s="1" t="s">
        <v>77</v>
      </c>
      <c r="I659" s="1" t="s">
        <v>77</v>
      </c>
      <c r="J659" s="1" t="s">
        <v>77</v>
      </c>
      <c r="K659" s="1" t="s">
        <v>77</v>
      </c>
      <c r="L659">
        <v>20220827093352</v>
      </c>
      <c r="M659" s="1" t="s">
        <v>977</v>
      </c>
      <c r="N659" s="1" t="s">
        <v>101</v>
      </c>
      <c r="O659">
        <v>8</v>
      </c>
      <c r="P659" s="3">
        <v>44800</v>
      </c>
      <c r="Q659">
        <v>34</v>
      </c>
    </row>
    <row r="660" spans="1:17" x14ac:dyDescent="0.3">
      <c r="A660" s="1" t="s">
        <v>978</v>
      </c>
      <c r="B660" s="2">
        <v>44800.398611111108</v>
      </c>
      <c r="C660" s="1" t="s">
        <v>37</v>
      </c>
      <c r="D660" s="1" t="s">
        <v>41</v>
      </c>
      <c r="E660" s="1" t="s">
        <v>42</v>
      </c>
      <c r="F660" s="1" t="s">
        <v>77</v>
      </c>
      <c r="G660" s="1" t="s">
        <v>77</v>
      </c>
      <c r="H660" s="1" t="s">
        <v>77</v>
      </c>
      <c r="I660" s="1" t="s">
        <v>77</v>
      </c>
      <c r="J660" s="1" t="s">
        <v>77</v>
      </c>
      <c r="K660" s="1" t="s">
        <v>77</v>
      </c>
      <c r="L660">
        <v>20220827093404</v>
      </c>
      <c r="M660" s="1" t="s">
        <v>979</v>
      </c>
      <c r="N660" s="1" t="s">
        <v>101</v>
      </c>
      <c r="O660">
        <v>8</v>
      </c>
      <c r="P660" s="3">
        <v>44800</v>
      </c>
      <c r="Q660">
        <v>34</v>
      </c>
    </row>
    <row r="661" spans="1:17" x14ac:dyDescent="0.3">
      <c r="A661" s="1" t="s">
        <v>978</v>
      </c>
      <c r="B661" s="2">
        <v>44800.398611111108</v>
      </c>
      <c r="C661" s="1" t="s">
        <v>37</v>
      </c>
      <c r="D661" s="1" t="s">
        <v>44</v>
      </c>
      <c r="E661" s="1" t="s">
        <v>45</v>
      </c>
      <c r="F661" s="1" t="s">
        <v>77</v>
      </c>
      <c r="G661" s="1" t="s">
        <v>77</v>
      </c>
      <c r="H661" s="1" t="s">
        <v>77</v>
      </c>
      <c r="I661" s="1" t="s">
        <v>77</v>
      </c>
      <c r="J661" s="1" t="s">
        <v>77</v>
      </c>
      <c r="K661" s="1" t="s">
        <v>77</v>
      </c>
      <c r="L661">
        <v>20220827093412</v>
      </c>
      <c r="M661" s="1" t="s">
        <v>980</v>
      </c>
      <c r="N661" s="1" t="s">
        <v>101</v>
      </c>
      <c r="O661">
        <v>8</v>
      </c>
      <c r="P661" s="3">
        <v>44800</v>
      </c>
      <c r="Q661">
        <v>34</v>
      </c>
    </row>
    <row r="662" spans="1:17" x14ac:dyDescent="0.3">
      <c r="A662" s="1" t="s">
        <v>978</v>
      </c>
      <c r="B662" s="2">
        <v>44800.398611111108</v>
      </c>
      <c r="C662" s="1" t="s">
        <v>37</v>
      </c>
      <c r="D662" s="1" t="s">
        <v>47</v>
      </c>
      <c r="E662" s="1" t="s">
        <v>48</v>
      </c>
      <c r="F662" s="1" t="s">
        <v>77</v>
      </c>
      <c r="G662" s="1" t="s">
        <v>77</v>
      </c>
      <c r="H662" s="1" t="s">
        <v>77</v>
      </c>
      <c r="I662" s="1" t="s">
        <v>77</v>
      </c>
      <c r="J662" s="1" t="s">
        <v>77</v>
      </c>
      <c r="K662" s="1" t="s">
        <v>77</v>
      </c>
      <c r="L662">
        <v>20220827093421</v>
      </c>
      <c r="M662" s="1" t="s">
        <v>981</v>
      </c>
      <c r="N662" s="1" t="s">
        <v>101</v>
      </c>
      <c r="O662">
        <v>8</v>
      </c>
      <c r="P662" s="3">
        <v>44800</v>
      </c>
      <c r="Q662">
        <v>34</v>
      </c>
    </row>
    <row r="663" spans="1:17" x14ac:dyDescent="0.3">
      <c r="A663" s="1" t="s">
        <v>978</v>
      </c>
      <c r="B663" s="2">
        <v>44800.398611111108</v>
      </c>
      <c r="C663" s="1" t="s">
        <v>37</v>
      </c>
      <c r="D663" s="1" t="s">
        <v>47</v>
      </c>
      <c r="E663" s="1" t="s">
        <v>51</v>
      </c>
      <c r="F663" s="1" t="s">
        <v>77</v>
      </c>
      <c r="G663" s="1" t="s">
        <v>77</v>
      </c>
      <c r="H663" s="1" t="s">
        <v>77</v>
      </c>
      <c r="I663" s="1" t="s">
        <v>77</v>
      </c>
      <c r="J663" s="1" t="s">
        <v>77</v>
      </c>
      <c r="K663" s="1" t="s">
        <v>77</v>
      </c>
      <c r="L663">
        <v>20220827093429</v>
      </c>
      <c r="M663" s="1" t="s">
        <v>982</v>
      </c>
      <c r="N663" s="1" t="s">
        <v>101</v>
      </c>
      <c r="O663">
        <v>8</v>
      </c>
      <c r="P663" s="3">
        <v>44800</v>
      </c>
      <c r="Q663">
        <v>34</v>
      </c>
    </row>
    <row r="664" spans="1:17" x14ac:dyDescent="0.3">
      <c r="A664" s="1" t="s">
        <v>978</v>
      </c>
      <c r="B664" s="2">
        <v>44800.398611111108</v>
      </c>
      <c r="C664" s="1" t="s">
        <v>37</v>
      </c>
      <c r="D664" s="1" t="s">
        <v>47</v>
      </c>
      <c r="E664" s="1" t="s">
        <v>536</v>
      </c>
      <c r="F664" s="1" t="s">
        <v>77</v>
      </c>
      <c r="G664" s="1" t="s">
        <v>77</v>
      </c>
      <c r="H664" s="1" t="s">
        <v>77</v>
      </c>
      <c r="I664" s="1" t="s">
        <v>77</v>
      </c>
      <c r="J664" s="1" t="s">
        <v>77</v>
      </c>
      <c r="K664" s="1" t="s">
        <v>77</v>
      </c>
      <c r="L664">
        <v>20220827093437</v>
      </c>
      <c r="M664" s="1" t="s">
        <v>983</v>
      </c>
      <c r="N664" s="1" t="s">
        <v>101</v>
      </c>
      <c r="O664">
        <v>8</v>
      </c>
      <c r="P664" s="3">
        <v>44800</v>
      </c>
      <c r="Q664">
        <v>34</v>
      </c>
    </row>
    <row r="665" spans="1:17" x14ac:dyDescent="0.3">
      <c r="A665" s="1" t="s">
        <v>978</v>
      </c>
      <c r="B665" s="2">
        <v>44800.398611111108</v>
      </c>
      <c r="C665" s="1" t="s">
        <v>37</v>
      </c>
      <c r="D665" s="1" t="s">
        <v>53</v>
      </c>
      <c r="E665" s="1" t="s">
        <v>54</v>
      </c>
      <c r="F665" s="1" t="s">
        <v>77</v>
      </c>
      <c r="G665" s="1" t="s">
        <v>77</v>
      </c>
      <c r="H665" s="1" t="s">
        <v>77</v>
      </c>
      <c r="I665" s="1" t="s">
        <v>77</v>
      </c>
      <c r="J665" s="1" t="s">
        <v>77</v>
      </c>
      <c r="K665" s="1" t="s">
        <v>77</v>
      </c>
      <c r="L665">
        <v>20220827093444</v>
      </c>
      <c r="M665" s="1" t="s">
        <v>984</v>
      </c>
      <c r="N665" s="1" t="s">
        <v>101</v>
      </c>
      <c r="O665">
        <v>8</v>
      </c>
      <c r="P665" s="3">
        <v>44800</v>
      </c>
      <c r="Q665">
        <v>34</v>
      </c>
    </row>
    <row r="666" spans="1:17" x14ac:dyDescent="0.3">
      <c r="A666" s="1" t="s">
        <v>978</v>
      </c>
      <c r="B666" s="2">
        <v>44800.398611111108</v>
      </c>
      <c r="C666" s="1" t="s">
        <v>37</v>
      </c>
      <c r="D666" s="1" t="s">
        <v>60</v>
      </c>
      <c r="E666" s="1" t="s">
        <v>61</v>
      </c>
      <c r="F666" s="1" t="s">
        <v>77</v>
      </c>
      <c r="G666" s="1" t="s">
        <v>77</v>
      </c>
      <c r="H666" s="1" t="s">
        <v>77</v>
      </c>
      <c r="I666" s="1" t="s">
        <v>77</v>
      </c>
      <c r="J666" s="1" t="s">
        <v>77</v>
      </c>
      <c r="K666" s="1" t="s">
        <v>77</v>
      </c>
      <c r="L666">
        <v>20220827093451</v>
      </c>
      <c r="M666" s="1" t="s">
        <v>985</v>
      </c>
      <c r="N666" s="1" t="s">
        <v>101</v>
      </c>
      <c r="O666">
        <v>8</v>
      </c>
      <c r="P666" s="3">
        <v>44800</v>
      </c>
      <c r="Q666">
        <v>34</v>
      </c>
    </row>
    <row r="667" spans="1:17" x14ac:dyDescent="0.3">
      <c r="A667" s="1" t="s">
        <v>986</v>
      </c>
      <c r="B667" s="2">
        <v>44800.399305555555</v>
      </c>
      <c r="C667" s="1" t="s">
        <v>18</v>
      </c>
      <c r="D667" s="1" t="s">
        <v>26</v>
      </c>
      <c r="E667" s="1" t="s">
        <v>77</v>
      </c>
      <c r="F667" s="1" t="s">
        <v>77</v>
      </c>
      <c r="G667" s="1" t="s">
        <v>77</v>
      </c>
      <c r="H667" s="1" t="s">
        <v>77</v>
      </c>
      <c r="I667" s="1" t="s">
        <v>77</v>
      </c>
      <c r="J667" s="1" t="s">
        <v>27</v>
      </c>
      <c r="K667" s="1" t="s">
        <v>331</v>
      </c>
      <c r="L667">
        <v>20220827093504</v>
      </c>
      <c r="M667" s="1" t="s">
        <v>987</v>
      </c>
      <c r="N667" s="1" t="s">
        <v>101</v>
      </c>
      <c r="O667">
        <v>8</v>
      </c>
      <c r="P667" s="3">
        <v>44800</v>
      </c>
      <c r="Q667">
        <v>34</v>
      </c>
    </row>
    <row r="668" spans="1:17" x14ac:dyDescent="0.3">
      <c r="A668" s="1" t="s">
        <v>986</v>
      </c>
      <c r="B668" s="2">
        <v>44800.399305555555</v>
      </c>
      <c r="C668" s="1" t="s">
        <v>18</v>
      </c>
      <c r="D668" s="1" t="s">
        <v>195</v>
      </c>
      <c r="E668" s="1" t="s">
        <v>77</v>
      </c>
      <c r="F668" s="1" t="s">
        <v>77</v>
      </c>
      <c r="G668" s="1" t="s">
        <v>77</v>
      </c>
      <c r="H668" s="1" t="s">
        <v>77</v>
      </c>
      <c r="I668" s="1" t="s">
        <v>77</v>
      </c>
      <c r="J668" s="1" t="s">
        <v>21</v>
      </c>
      <c r="K668" s="1" t="s">
        <v>331</v>
      </c>
      <c r="L668">
        <v>20220827093521</v>
      </c>
      <c r="M668" s="1" t="s">
        <v>988</v>
      </c>
      <c r="N668" s="1" t="s">
        <v>101</v>
      </c>
      <c r="O668">
        <v>8</v>
      </c>
      <c r="P668" s="3">
        <v>44800</v>
      </c>
      <c r="Q668">
        <v>34</v>
      </c>
    </row>
    <row r="669" spans="1:17" x14ac:dyDescent="0.3">
      <c r="A669" s="1" t="s">
        <v>986</v>
      </c>
      <c r="B669" s="2">
        <v>44800.399305555555</v>
      </c>
      <c r="C669" s="1" t="s">
        <v>18</v>
      </c>
      <c r="D669" s="1" t="s">
        <v>19</v>
      </c>
      <c r="E669" s="1" t="s">
        <v>77</v>
      </c>
      <c r="F669" s="1" t="s">
        <v>77</v>
      </c>
      <c r="G669" s="1" t="s">
        <v>77</v>
      </c>
      <c r="H669" s="1" t="s">
        <v>77</v>
      </c>
      <c r="I669" s="1" t="s">
        <v>77</v>
      </c>
      <c r="J669" s="1" t="s">
        <v>58</v>
      </c>
      <c r="K669" s="1" t="s">
        <v>309</v>
      </c>
      <c r="L669">
        <v>20220827093532</v>
      </c>
      <c r="M669" s="1" t="s">
        <v>989</v>
      </c>
      <c r="N669" s="1" t="s">
        <v>101</v>
      </c>
      <c r="O669">
        <v>8</v>
      </c>
      <c r="P669" s="3">
        <v>44800</v>
      </c>
      <c r="Q669">
        <v>34</v>
      </c>
    </row>
    <row r="670" spans="1:17" x14ac:dyDescent="0.3">
      <c r="A670" s="1" t="s">
        <v>986</v>
      </c>
      <c r="B670" s="2">
        <v>44800.399305555555</v>
      </c>
      <c r="C670" s="1" t="s">
        <v>37</v>
      </c>
      <c r="D670" s="1" t="s">
        <v>53</v>
      </c>
      <c r="E670" s="1" t="s">
        <v>56</v>
      </c>
      <c r="F670" s="1" t="s">
        <v>77</v>
      </c>
      <c r="G670" s="1" t="s">
        <v>77</v>
      </c>
      <c r="H670" s="1" t="s">
        <v>77</v>
      </c>
      <c r="I670" s="1" t="s">
        <v>77</v>
      </c>
      <c r="J670" s="1" t="s">
        <v>20</v>
      </c>
      <c r="K670" s="1" t="s">
        <v>20</v>
      </c>
      <c r="L670">
        <v>20220827093545</v>
      </c>
      <c r="M670" s="1" t="s">
        <v>990</v>
      </c>
      <c r="N670" s="1" t="s">
        <v>101</v>
      </c>
      <c r="O670">
        <v>8</v>
      </c>
      <c r="P670" s="3">
        <v>44800</v>
      </c>
      <c r="Q670">
        <v>34</v>
      </c>
    </row>
    <row r="671" spans="1:17" x14ac:dyDescent="0.3">
      <c r="A671" s="1" t="s">
        <v>986</v>
      </c>
      <c r="B671" s="2">
        <v>44800.4</v>
      </c>
      <c r="C671" s="1" t="s">
        <v>18</v>
      </c>
      <c r="D671" s="1" t="s">
        <v>29</v>
      </c>
      <c r="E671" s="1" t="s">
        <v>77</v>
      </c>
      <c r="F671" s="1" t="s">
        <v>77</v>
      </c>
      <c r="G671" s="1" t="s">
        <v>77</v>
      </c>
      <c r="H671" s="1" t="s">
        <v>77</v>
      </c>
      <c r="I671" s="1" t="s">
        <v>77</v>
      </c>
      <c r="J671" s="1" t="s">
        <v>30</v>
      </c>
      <c r="K671" s="1" t="s">
        <v>991</v>
      </c>
      <c r="L671">
        <v>20220827093557</v>
      </c>
      <c r="M671" s="1" t="s">
        <v>992</v>
      </c>
      <c r="N671" s="1" t="s">
        <v>101</v>
      </c>
      <c r="O671">
        <v>8</v>
      </c>
      <c r="P671" s="3">
        <v>44800</v>
      </c>
      <c r="Q671">
        <v>34</v>
      </c>
    </row>
    <row r="672" spans="1:17" x14ac:dyDescent="0.3">
      <c r="A672" s="1" t="s">
        <v>993</v>
      </c>
      <c r="B672" s="2">
        <v>44800.4</v>
      </c>
      <c r="C672" s="1" t="s">
        <v>18</v>
      </c>
      <c r="D672" s="1" t="s">
        <v>29</v>
      </c>
      <c r="E672" s="1" t="s">
        <v>77</v>
      </c>
      <c r="F672" s="1" t="s">
        <v>77</v>
      </c>
      <c r="G672" s="1" t="s">
        <v>77</v>
      </c>
      <c r="H672" s="1" t="s">
        <v>77</v>
      </c>
      <c r="I672" s="1" t="s">
        <v>77</v>
      </c>
      <c r="J672" s="1" t="s">
        <v>554</v>
      </c>
      <c r="K672" s="1" t="s">
        <v>991</v>
      </c>
      <c r="L672">
        <v>20220827093621</v>
      </c>
      <c r="M672" s="1" t="s">
        <v>994</v>
      </c>
      <c r="N672" s="1" t="s">
        <v>101</v>
      </c>
      <c r="O672">
        <v>8</v>
      </c>
      <c r="P672" s="3">
        <v>44800</v>
      </c>
      <c r="Q672">
        <v>34</v>
      </c>
    </row>
    <row r="673" spans="1:17" x14ac:dyDescent="0.3">
      <c r="A673" s="1" t="s">
        <v>995</v>
      </c>
      <c r="B673" s="2">
        <v>44802.357638888891</v>
      </c>
      <c r="C673" s="1" t="s">
        <v>37</v>
      </c>
      <c r="D673" s="1" t="s">
        <v>26</v>
      </c>
      <c r="E673" s="1" t="s">
        <v>27</v>
      </c>
      <c r="F673" s="1" t="s">
        <v>77</v>
      </c>
      <c r="G673" s="1" t="s">
        <v>77</v>
      </c>
      <c r="H673" s="1" t="s">
        <v>77</v>
      </c>
      <c r="I673" s="1" t="s">
        <v>77</v>
      </c>
      <c r="J673" s="1" t="s">
        <v>77</v>
      </c>
      <c r="K673" s="1" t="s">
        <v>77</v>
      </c>
      <c r="L673">
        <v>20220829083544</v>
      </c>
      <c r="M673" s="1" t="s">
        <v>996</v>
      </c>
      <c r="N673" s="1" t="s">
        <v>120</v>
      </c>
      <c r="O673">
        <v>8</v>
      </c>
      <c r="P673" s="3">
        <v>44802</v>
      </c>
      <c r="Q673">
        <v>35</v>
      </c>
    </row>
    <row r="674" spans="1:17" x14ac:dyDescent="0.3">
      <c r="A674" s="1" t="s">
        <v>995</v>
      </c>
      <c r="B674" s="2">
        <v>44802.357638888891</v>
      </c>
      <c r="C674" s="1" t="s">
        <v>37</v>
      </c>
      <c r="D674" s="1" t="s">
        <v>195</v>
      </c>
      <c r="E674" s="1" t="s">
        <v>21</v>
      </c>
      <c r="F674" s="1" t="s">
        <v>77</v>
      </c>
      <c r="G674" s="1" t="s">
        <v>77</v>
      </c>
      <c r="H674" s="1" t="s">
        <v>77</v>
      </c>
      <c r="I674" s="1" t="s">
        <v>77</v>
      </c>
      <c r="J674" s="1" t="s">
        <v>77</v>
      </c>
      <c r="K674" s="1" t="s">
        <v>77</v>
      </c>
      <c r="L674">
        <v>20220829083554</v>
      </c>
      <c r="M674" s="1" t="s">
        <v>997</v>
      </c>
      <c r="N674" s="1" t="s">
        <v>120</v>
      </c>
      <c r="O674">
        <v>8</v>
      </c>
      <c r="P674" s="3">
        <v>44802</v>
      </c>
      <c r="Q674">
        <v>35</v>
      </c>
    </row>
    <row r="675" spans="1:17" x14ac:dyDescent="0.3">
      <c r="A675" s="1" t="s">
        <v>998</v>
      </c>
      <c r="B675" s="2">
        <v>44802.35833333333</v>
      </c>
      <c r="C675" s="1" t="s">
        <v>37</v>
      </c>
      <c r="D675" s="1" t="s">
        <v>38</v>
      </c>
      <c r="E675" s="1" t="s">
        <v>39</v>
      </c>
      <c r="F675" s="1" t="s">
        <v>77</v>
      </c>
      <c r="G675" s="1" t="s">
        <v>77</v>
      </c>
      <c r="H675" s="1" t="s">
        <v>77</v>
      </c>
      <c r="I675" s="1" t="s">
        <v>77</v>
      </c>
      <c r="J675" s="1" t="s">
        <v>77</v>
      </c>
      <c r="K675" s="1" t="s">
        <v>77</v>
      </c>
      <c r="L675">
        <v>20220829083600</v>
      </c>
      <c r="M675" s="1" t="s">
        <v>999</v>
      </c>
      <c r="N675" s="1" t="s">
        <v>120</v>
      </c>
      <c r="O675">
        <v>8</v>
      </c>
      <c r="P675" s="3">
        <v>44802</v>
      </c>
      <c r="Q675">
        <v>35</v>
      </c>
    </row>
    <row r="676" spans="1:17" x14ac:dyDescent="0.3">
      <c r="A676" s="1" t="s">
        <v>998</v>
      </c>
      <c r="B676" s="2">
        <v>44802.35833333333</v>
      </c>
      <c r="C676" s="1" t="s">
        <v>37</v>
      </c>
      <c r="D676" s="1" t="s">
        <v>41</v>
      </c>
      <c r="E676" s="1" t="s">
        <v>42</v>
      </c>
      <c r="F676" s="1" t="s">
        <v>77</v>
      </c>
      <c r="G676" s="1" t="s">
        <v>77</v>
      </c>
      <c r="H676" s="1" t="s">
        <v>77</v>
      </c>
      <c r="I676" s="1" t="s">
        <v>77</v>
      </c>
      <c r="J676" s="1" t="s">
        <v>77</v>
      </c>
      <c r="K676" s="1" t="s">
        <v>77</v>
      </c>
      <c r="L676">
        <v>20220829083608</v>
      </c>
      <c r="M676" s="1" t="s">
        <v>1000</v>
      </c>
      <c r="N676" s="1" t="s">
        <v>120</v>
      </c>
      <c r="O676">
        <v>8</v>
      </c>
      <c r="P676" s="3">
        <v>44802</v>
      </c>
      <c r="Q676">
        <v>35</v>
      </c>
    </row>
    <row r="677" spans="1:17" x14ac:dyDescent="0.3">
      <c r="A677" s="1" t="s">
        <v>998</v>
      </c>
      <c r="B677" s="2">
        <v>44802.35833333333</v>
      </c>
      <c r="C677" s="1" t="s">
        <v>37</v>
      </c>
      <c r="D677" s="1" t="s">
        <v>44</v>
      </c>
      <c r="E677" s="1" t="s">
        <v>45</v>
      </c>
      <c r="F677" s="1" t="s">
        <v>77</v>
      </c>
      <c r="G677" s="1" t="s">
        <v>77</v>
      </c>
      <c r="H677" s="1" t="s">
        <v>77</v>
      </c>
      <c r="I677" s="1" t="s">
        <v>77</v>
      </c>
      <c r="J677" s="1" t="s">
        <v>20</v>
      </c>
      <c r="K677" s="1" t="s">
        <v>20</v>
      </c>
      <c r="L677">
        <v>20220829083619</v>
      </c>
      <c r="M677" s="1" t="s">
        <v>1001</v>
      </c>
      <c r="N677" s="1" t="s">
        <v>120</v>
      </c>
      <c r="O677">
        <v>8</v>
      </c>
      <c r="P677" s="3">
        <v>44802</v>
      </c>
      <c r="Q677">
        <v>35</v>
      </c>
    </row>
    <row r="678" spans="1:17" x14ac:dyDescent="0.3">
      <c r="A678" s="1" t="s">
        <v>998</v>
      </c>
      <c r="B678" s="2">
        <v>44802.359027777777</v>
      </c>
      <c r="C678" s="1" t="s">
        <v>18</v>
      </c>
      <c r="D678" s="1" t="s">
        <v>47</v>
      </c>
      <c r="E678" s="1" t="s">
        <v>20</v>
      </c>
      <c r="F678" s="1" t="s">
        <v>77</v>
      </c>
      <c r="G678" s="1" t="s">
        <v>77</v>
      </c>
      <c r="H678" s="1" t="s">
        <v>48</v>
      </c>
      <c r="I678" s="1" t="s">
        <v>1002</v>
      </c>
      <c r="J678" s="1" t="s">
        <v>77</v>
      </c>
      <c r="K678" s="1" t="s">
        <v>77</v>
      </c>
      <c r="L678">
        <v>20220829083628</v>
      </c>
      <c r="M678" s="1" t="s">
        <v>1003</v>
      </c>
      <c r="N678" s="1" t="s">
        <v>120</v>
      </c>
      <c r="O678">
        <v>8</v>
      </c>
      <c r="P678" s="3">
        <v>44802</v>
      </c>
      <c r="Q678">
        <v>35</v>
      </c>
    </row>
    <row r="679" spans="1:17" x14ac:dyDescent="0.3">
      <c r="A679" s="1" t="s">
        <v>1004</v>
      </c>
      <c r="B679" s="2">
        <v>44802.359027777777</v>
      </c>
      <c r="C679" s="1" t="s">
        <v>37</v>
      </c>
      <c r="D679" s="1" t="s">
        <v>47</v>
      </c>
      <c r="E679" s="1" t="s">
        <v>51</v>
      </c>
      <c r="F679" s="1" t="s">
        <v>77</v>
      </c>
      <c r="G679" s="1" t="s">
        <v>77</v>
      </c>
      <c r="H679" s="1" t="s">
        <v>77</v>
      </c>
      <c r="I679" s="1" t="s">
        <v>77</v>
      </c>
      <c r="J679" s="1" t="s">
        <v>77</v>
      </c>
      <c r="K679" s="1" t="s">
        <v>77</v>
      </c>
      <c r="L679">
        <v>20220829083728</v>
      </c>
      <c r="M679" s="1" t="s">
        <v>1005</v>
      </c>
      <c r="N679" s="1" t="s">
        <v>120</v>
      </c>
      <c r="O679">
        <v>8</v>
      </c>
      <c r="P679" s="3">
        <v>44802</v>
      </c>
      <c r="Q679">
        <v>35</v>
      </c>
    </row>
    <row r="680" spans="1:17" x14ac:dyDescent="0.3">
      <c r="A680" s="1" t="s">
        <v>1006</v>
      </c>
      <c r="B680" s="2">
        <v>44802.359722222223</v>
      </c>
      <c r="C680" s="1" t="s">
        <v>37</v>
      </c>
      <c r="D680" s="1" t="s">
        <v>47</v>
      </c>
      <c r="E680" s="1" t="s">
        <v>536</v>
      </c>
      <c r="F680" s="1" t="s">
        <v>77</v>
      </c>
      <c r="G680" s="1" t="s">
        <v>77</v>
      </c>
      <c r="H680" s="1" t="s">
        <v>77</v>
      </c>
      <c r="I680" s="1" t="s">
        <v>77</v>
      </c>
      <c r="J680" s="1" t="s">
        <v>77</v>
      </c>
      <c r="K680" s="1" t="s">
        <v>77</v>
      </c>
      <c r="L680">
        <v>20220829083818</v>
      </c>
      <c r="M680" s="1" t="s">
        <v>1007</v>
      </c>
      <c r="N680" s="1" t="s">
        <v>120</v>
      </c>
      <c r="O680">
        <v>8</v>
      </c>
      <c r="P680" s="3">
        <v>44802</v>
      </c>
      <c r="Q680">
        <v>35</v>
      </c>
    </row>
    <row r="681" spans="1:17" x14ac:dyDescent="0.3">
      <c r="A681" s="1" t="s">
        <v>1006</v>
      </c>
      <c r="B681" s="2">
        <v>44802.359722222223</v>
      </c>
      <c r="C681" s="1" t="s">
        <v>37</v>
      </c>
      <c r="D681" s="1" t="s">
        <v>53</v>
      </c>
      <c r="E681" s="1" t="s">
        <v>54</v>
      </c>
      <c r="F681" s="1" t="s">
        <v>77</v>
      </c>
      <c r="G681" s="1" t="s">
        <v>77</v>
      </c>
      <c r="H681" s="1" t="s">
        <v>77</v>
      </c>
      <c r="I681" s="1" t="s">
        <v>77</v>
      </c>
      <c r="J681" s="1" t="s">
        <v>77</v>
      </c>
      <c r="K681" s="1" t="s">
        <v>77</v>
      </c>
      <c r="L681">
        <v>20220829083825</v>
      </c>
      <c r="M681" s="1" t="s">
        <v>1008</v>
      </c>
      <c r="N681" s="1" t="s">
        <v>120</v>
      </c>
      <c r="O681">
        <v>8</v>
      </c>
      <c r="P681" s="3">
        <v>44802</v>
      </c>
      <c r="Q681">
        <v>35</v>
      </c>
    </row>
    <row r="682" spans="1:17" x14ac:dyDescent="0.3">
      <c r="A682" s="1" t="s">
        <v>1006</v>
      </c>
      <c r="B682" s="2">
        <v>44802.359722222223</v>
      </c>
      <c r="C682" s="1" t="s">
        <v>37</v>
      </c>
      <c r="D682" s="1" t="s">
        <v>19</v>
      </c>
      <c r="E682" s="1" t="s">
        <v>58</v>
      </c>
      <c r="F682" s="1" t="s">
        <v>77</v>
      </c>
      <c r="G682" s="1" t="s">
        <v>77</v>
      </c>
      <c r="H682" s="1" t="s">
        <v>77</v>
      </c>
      <c r="I682" s="1" t="s">
        <v>77</v>
      </c>
      <c r="J682" s="1" t="s">
        <v>77</v>
      </c>
      <c r="K682" s="1" t="s">
        <v>77</v>
      </c>
      <c r="L682">
        <v>20220829083833</v>
      </c>
      <c r="M682" s="1" t="s">
        <v>1009</v>
      </c>
      <c r="N682" s="1" t="s">
        <v>120</v>
      </c>
      <c r="O682">
        <v>8</v>
      </c>
      <c r="P682" s="3">
        <v>44802</v>
      </c>
      <c r="Q682">
        <v>35</v>
      </c>
    </row>
    <row r="683" spans="1:17" x14ac:dyDescent="0.3">
      <c r="A683" s="1" t="s">
        <v>1006</v>
      </c>
      <c r="B683" s="2">
        <v>44802.359722222223</v>
      </c>
      <c r="C683" s="1" t="s">
        <v>37</v>
      </c>
      <c r="D683" s="1" t="s">
        <v>60</v>
      </c>
      <c r="E683" s="1" t="s">
        <v>61</v>
      </c>
      <c r="F683" s="1" t="s">
        <v>77</v>
      </c>
      <c r="G683" s="1" t="s">
        <v>77</v>
      </c>
      <c r="H683" s="1" t="s">
        <v>77</v>
      </c>
      <c r="I683" s="1" t="s">
        <v>77</v>
      </c>
      <c r="J683" s="1" t="s">
        <v>77</v>
      </c>
      <c r="K683" s="1" t="s">
        <v>77</v>
      </c>
      <c r="L683">
        <v>20220829083841</v>
      </c>
      <c r="M683" s="1" t="s">
        <v>1010</v>
      </c>
      <c r="N683" s="1" t="s">
        <v>120</v>
      </c>
      <c r="O683">
        <v>8</v>
      </c>
      <c r="P683" s="3">
        <v>44802</v>
      </c>
      <c r="Q683">
        <v>35</v>
      </c>
    </row>
    <row r="684" spans="1:17" x14ac:dyDescent="0.3">
      <c r="A684" s="1" t="s">
        <v>1006</v>
      </c>
      <c r="B684" s="2">
        <v>44802.359722222223</v>
      </c>
      <c r="C684" s="1" t="s">
        <v>37</v>
      </c>
      <c r="D684" s="1" t="s">
        <v>29</v>
      </c>
      <c r="E684" s="1" t="s">
        <v>30</v>
      </c>
      <c r="F684" s="1" t="s">
        <v>77</v>
      </c>
      <c r="G684" s="1" t="s">
        <v>77</v>
      </c>
      <c r="H684" s="1" t="s">
        <v>77</v>
      </c>
      <c r="I684" s="1" t="s">
        <v>77</v>
      </c>
      <c r="J684" s="1" t="s">
        <v>77</v>
      </c>
      <c r="K684" s="1" t="s">
        <v>77</v>
      </c>
      <c r="L684">
        <v>20220829083850</v>
      </c>
      <c r="M684" s="1" t="s">
        <v>1011</v>
      </c>
      <c r="N684" s="1" t="s">
        <v>120</v>
      </c>
      <c r="O684">
        <v>8</v>
      </c>
      <c r="P684" s="3">
        <v>44802</v>
      </c>
      <c r="Q684">
        <v>35</v>
      </c>
    </row>
    <row r="685" spans="1:17" x14ac:dyDescent="0.3">
      <c r="A685" s="1" t="s">
        <v>1006</v>
      </c>
      <c r="B685" s="2">
        <v>44802.36041666667</v>
      </c>
      <c r="C685" s="1" t="s">
        <v>37</v>
      </c>
      <c r="D685" s="1" t="s">
        <v>29</v>
      </c>
      <c r="E685" s="1" t="s">
        <v>554</v>
      </c>
      <c r="F685" s="1" t="s">
        <v>77</v>
      </c>
      <c r="G685" s="1" t="s">
        <v>77</v>
      </c>
      <c r="H685" s="1" t="s">
        <v>77</v>
      </c>
      <c r="I685" s="1" t="s">
        <v>77</v>
      </c>
      <c r="J685" s="1" t="s">
        <v>77</v>
      </c>
      <c r="K685" s="1" t="s">
        <v>77</v>
      </c>
      <c r="L685">
        <v>20220829083858</v>
      </c>
      <c r="M685" s="1" t="s">
        <v>1012</v>
      </c>
      <c r="N685" s="1" t="s">
        <v>120</v>
      </c>
      <c r="O685">
        <v>8</v>
      </c>
      <c r="P685" s="3">
        <v>44802</v>
      </c>
      <c r="Q685">
        <v>35</v>
      </c>
    </row>
    <row r="686" spans="1:17" x14ac:dyDescent="0.3">
      <c r="A686" s="1" t="s">
        <v>1013</v>
      </c>
      <c r="B686" s="2">
        <v>44802.36041666667</v>
      </c>
      <c r="C686" s="1" t="s">
        <v>37</v>
      </c>
      <c r="D686" s="1" t="s">
        <v>53</v>
      </c>
      <c r="E686" s="1" t="s">
        <v>56</v>
      </c>
      <c r="F686" s="1" t="s">
        <v>77</v>
      </c>
      <c r="G686" s="1" t="s">
        <v>77</v>
      </c>
      <c r="H686" s="1" t="s">
        <v>77</v>
      </c>
      <c r="I686" s="1" t="s">
        <v>77</v>
      </c>
      <c r="J686" s="1" t="s">
        <v>20</v>
      </c>
      <c r="K686" s="1" t="s">
        <v>20</v>
      </c>
      <c r="L686">
        <v>20220829083908</v>
      </c>
      <c r="M686" s="1" t="s">
        <v>1014</v>
      </c>
      <c r="N686" s="1" t="s">
        <v>120</v>
      </c>
      <c r="O686">
        <v>8</v>
      </c>
      <c r="P686" s="3">
        <v>44802</v>
      </c>
      <c r="Q686">
        <v>35</v>
      </c>
    </row>
    <row r="687" spans="1:17" x14ac:dyDescent="0.3">
      <c r="A687" s="1" t="s">
        <v>1015</v>
      </c>
      <c r="B687" s="2">
        <v>44803.335416666669</v>
      </c>
      <c r="C687" s="1" t="s">
        <v>37</v>
      </c>
      <c r="D687" s="1" t="s">
        <v>26</v>
      </c>
      <c r="E687" s="1" t="s">
        <v>27</v>
      </c>
      <c r="F687" s="1" t="s">
        <v>77</v>
      </c>
      <c r="G687" s="1" t="s">
        <v>77</v>
      </c>
      <c r="H687" s="1" t="s">
        <v>77</v>
      </c>
      <c r="I687" s="1" t="s">
        <v>77</v>
      </c>
      <c r="J687" s="1" t="s">
        <v>77</v>
      </c>
      <c r="K687" s="1" t="s">
        <v>77</v>
      </c>
      <c r="L687">
        <v>20220830080319</v>
      </c>
      <c r="M687" s="1" t="s">
        <v>1016</v>
      </c>
      <c r="N687" s="1" t="s">
        <v>140</v>
      </c>
      <c r="O687">
        <v>8</v>
      </c>
      <c r="P687" s="3">
        <v>44803</v>
      </c>
      <c r="Q687">
        <v>35</v>
      </c>
    </row>
    <row r="688" spans="1:17" x14ac:dyDescent="0.3">
      <c r="A688" s="1" t="s">
        <v>1015</v>
      </c>
      <c r="B688" s="2">
        <v>44803.335416666669</v>
      </c>
      <c r="C688" s="1" t="s">
        <v>37</v>
      </c>
      <c r="D688" s="1" t="s">
        <v>195</v>
      </c>
      <c r="E688" s="1" t="s">
        <v>21</v>
      </c>
      <c r="F688" s="1" t="s">
        <v>77</v>
      </c>
      <c r="G688" s="1" t="s">
        <v>77</v>
      </c>
      <c r="H688" s="1" t="s">
        <v>77</v>
      </c>
      <c r="I688" s="1" t="s">
        <v>77</v>
      </c>
      <c r="J688" s="1" t="s">
        <v>77</v>
      </c>
      <c r="K688" s="1" t="s">
        <v>77</v>
      </c>
      <c r="L688">
        <v>20220830080327</v>
      </c>
      <c r="M688" s="1" t="s">
        <v>1017</v>
      </c>
      <c r="N688" s="1" t="s">
        <v>140</v>
      </c>
      <c r="O688">
        <v>8</v>
      </c>
      <c r="P688" s="3">
        <v>44803</v>
      </c>
      <c r="Q688">
        <v>35</v>
      </c>
    </row>
    <row r="689" spans="1:17" x14ac:dyDescent="0.3">
      <c r="A689" s="1" t="s">
        <v>1015</v>
      </c>
      <c r="B689" s="2">
        <v>44803.335416666669</v>
      </c>
      <c r="C689" s="1" t="s">
        <v>37</v>
      </c>
      <c r="D689" s="1" t="s">
        <v>38</v>
      </c>
      <c r="E689" s="1" t="s">
        <v>39</v>
      </c>
      <c r="F689" s="1" t="s">
        <v>77</v>
      </c>
      <c r="G689" s="1" t="s">
        <v>77</v>
      </c>
      <c r="H689" s="1" t="s">
        <v>77</v>
      </c>
      <c r="I689" s="1" t="s">
        <v>77</v>
      </c>
      <c r="J689" s="1" t="s">
        <v>77</v>
      </c>
      <c r="K689" s="1" t="s">
        <v>77</v>
      </c>
      <c r="L689">
        <v>20220830080336</v>
      </c>
      <c r="M689" s="1" t="s">
        <v>1018</v>
      </c>
      <c r="N689" s="1" t="s">
        <v>140</v>
      </c>
      <c r="O689">
        <v>8</v>
      </c>
      <c r="P689" s="3">
        <v>44803</v>
      </c>
      <c r="Q689">
        <v>35</v>
      </c>
    </row>
    <row r="690" spans="1:17" x14ac:dyDescent="0.3">
      <c r="A690" s="1" t="s">
        <v>1015</v>
      </c>
      <c r="B690" s="2">
        <v>44803.335416666669</v>
      </c>
      <c r="C690" s="1" t="s">
        <v>37</v>
      </c>
      <c r="D690" s="1" t="s">
        <v>41</v>
      </c>
      <c r="E690" s="1" t="s">
        <v>42</v>
      </c>
      <c r="F690" s="1" t="s">
        <v>77</v>
      </c>
      <c r="G690" s="1" t="s">
        <v>77</v>
      </c>
      <c r="H690" s="1" t="s">
        <v>77</v>
      </c>
      <c r="I690" s="1" t="s">
        <v>77</v>
      </c>
      <c r="J690" s="1" t="s">
        <v>77</v>
      </c>
      <c r="K690" s="1" t="s">
        <v>77</v>
      </c>
      <c r="L690">
        <v>20220830080348</v>
      </c>
      <c r="M690" s="1" t="s">
        <v>1019</v>
      </c>
      <c r="N690" s="1" t="s">
        <v>140</v>
      </c>
      <c r="O690">
        <v>8</v>
      </c>
      <c r="P690" s="3">
        <v>44803</v>
      </c>
      <c r="Q690">
        <v>35</v>
      </c>
    </row>
    <row r="691" spans="1:17" x14ac:dyDescent="0.3">
      <c r="A691" s="1" t="s">
        <v>1015</v>
      </c>
      <c r="B691" s="2">
        <v>44803.336111111108</v>
      </c>
      <c r="C691" s="1" t="s">
        <v>37</v>
      </c>
      <c r="D691" s="1" t="s">
        <v>44</v>
      </c>
      <c r="E691" s="1" t="s">
        <v>45</v>
      </c>
      <c r="F691" s="1" t="s">
        <v>77</v>
      </c>
      <c r="G691" s="1" t="s">
        <v>77</v>
      </c>
      <c r="H691" s="1" t="s">
        <v>77</v>
      </c>
      <c r="I691" s="1" t="s">
        <v>77</v>
      </c>
      <c r="J691" s="1" t="s">
        <v>77</v>
      </c>
      <c r="K691" s="1" t="s">
        <v>77</v>
      </c>
      <c r="L691">
        <v>20220830080356</v>
      </c>
      <c r="M691" s="1" t="s">
        <v>1020</v>
      </c>
      <c r="N691" s="1" t="s">
        <v>140</v>
      </c>
      <c r="O691">
        <v>8</v>
      </c>
      <c r="P691" s="3">
        <v>44803</v>
      </c>
      <c r="Q691">
        <v>35</v>
      </c>
    </row>
    <row r="692" spans="1:17" x14ac:dyDescent="0.3">
      <c r="A692" s="1" t="s">
        <v>1021</v>
      </c>
      <c r="B692" s="2">
        <v>44803.336111111108</v>
      </c>
      <c r="C692" s="1" t="s">
        <v>37</v>
      </c>
      <c r="D692" s="1" t="s">
        <v>47</v>
      </c>
      <c r="E692" s="1" t="s">
        <v>51</v>
      </c>
      <c r="F692" s="1" t="s">
        <v>77</v>
      </c>
      <c r="G692" s="1" t="s">
        <v>77</v>
      </c>
      <c r="H692" s="1" t="s">
        <v>77</v>
      </c>
      <c r="I692" s="1" t="s">
        <v>77</v>
      </c>
      <c r="J692" s="1" t="s">
        <v>77</v>
      </c>
      <c r="K692" s="1" t="s">
        <v>77</v>
      </c>
      <c r="L692">
        <v>20220830080403</v>
      </c>
      <c r="M692" s="1" t="s">
        <v>1022</v>
      </c>
      <c r="N692" s="1" t="s">
        <v>140</v>
      </c>
      <c r="O692">
        <v>8</v>
      </c>
      <c r="P692" s="3">
        <v>44803</v>
      </c>
      <c r="Q692">
        <v>35</v>
      </c>
    </row>
    <row r="693" spans="1:17" x14ac:dyDescent="0.3">
      <c r="A693" s="1" t="s">
        <v>1021</v>
      </c>
      <c r="B693" s="2">
        <v>44803.336111111108</v>
      </c>
      <c r="C693" s="1" t="s">
        <v>37</v>
      </c>
      <c r="D693" s="1" t="s">
        <v>47</v>
      </c>
      <c r="E693" s="1" t="s">
        <v>536</v>
      </c>
      <c r="F693" s="1" t="s">
        <v>77</v>
      </c>
      <c r="G693" s="1" t="s">
        <v>77</v>
      </c>
      <c r="H693" s="1" t="s">
        <v>77</v>
      </c>
      <c r="I693" s="1" t="s">
        <v>77</v>
      </c>
      <c r="J693" s="1" t="s">
        <v>77</v>
      </c>
      <c r="K693" s="1" t="s">
        <v>77</v>
      </c>
      <c r="L693">
        <v>20220830080411</v>
      </c>
      <c r="M693" s="1" t="s">
        <v>1023</v>
      </c>
      <c r="N693" s="1" t="s">
        <v>140</v>
      </c>
      <c r="O693">
        <v>8</v>
      </c>
      <c r="P693" s="3">
        <v>44803</v>
      </c>
      <c r="Q693">
        <v>35</v>
      </c>
    </row>
    <row r="694" spans="1:17" x14ac:dyDescent="0.3">
      <c r="A694" s="1" t="s">
        <v>1021</v>
      </c>
      <c r="B694" s="2">
        <v>44803.336111111108</v>
      </c>
      <c r="C694" s="1" t="s">
        <v>37</v>
      </c>
      <c r="D694" s="1" t="s">
        <v>53</v>
      </c>
      <c r="E694" s="1" t="s">
        <v>54</v>
      </c>
      <c r="F694" s="1" t="s">
        <v>77</v>
      </c>
      <c r="G694" s="1" t="s">
        <v>77</v>
      </c>
      <c r="H694" s="1" t="s">
        <v>77</v>
      </c>
      <c r="I694" s="1" t="s">
        <v>77</v>
      </c>
      <c r="J694" s="1" t="s">
        <v>77</v>
      </c>
      <c r="K694" s="1" t="s">
        <v>77</v>
      </c>
      <c r="L694">
        <v>20220830080418</v>
      </c>
      <c r="M694" s="1" t="s">
        <v>1024</v>
      </c>
      <c r="N694" s="1" t="s">
        <v>140</v>
      </c>
      <c r="O694">
        <v>8</v>
      </c>
      <c r="P694" s="3">
        <v>44803</v>
      </c>
      <c r="Q694">
        <v>35</v>
      </c>
    </row>
    <row r="695" spans="1:17" x14ac:dyDescent="0.3">
      <c r="A695" s="1" t="s">
        <v>1021</v>
      </c>
      <c r="B695" s="2">
        <v>44803.336111111108</v>
      </c>
      <c r="C695" s="1" t="s">
        <v>37</v>
      </c>
      <c r="D695" s="1" t="s">
        <v>53</v>
      </c>
      <c r="E695" s="1" t="s">
        <v>56</v>
      </c>
      <c r="F695" s="1" t="s">
        <v>77</v>
      </c>
      <c r="G695" s="1" t="s">
        <v>77</v>
      </c>
      <c r="H695" s="1" t="s">
        <v>77</v>
      </c>
      <c r="I695" s="1" t="s">
        <v>77</v>
      </c>
      <c r="J695" s="1" t="s">
        <v>77</v>
      </c>
      <c r="K695" s="1" t="s">
        <v>77</v>
      </c>
      <c r="L695">
        <v>20220830080425</v>
      </c>
      <c r="M695" s="1" t="s">
        <v>1025</v>
      </c>
      <c r="N695" s="1" t="s">
        <v>140</v>
      </c>
      <c r="O695">
        <v>8</v>
      </c>
      <c r="P695" s="3">
        <v>44803</v>
      </c>
      <c r="Q695">
        <v>35</v>
      </c>
    </row>
    <row r="696" spans="1:17" x14ac:dyDescent="0.3">
      <c r="A696" s="1" t="s">
        <v>1021</v>
      </c>
      <c r="B696" s="2">
        <v>44803.336111111108</v>
      </c>
      <c r="C696" s="1" t="s">
        <v>37</v>
      </c>
      <c r="D696" s="1" t="s">
        <v>19</v>
      </c>
      <c r="E696" s="1" t="s">
        <v>58</v>
      </c>
      <c r="F696" s="1" t="s">
        <v>77</v>
      </c>
      <c r="G696" s="1" t="s">
        <v>77</v>
      </c>
      <c r="H696" s="1" t="s">
        <v>77</v>
      </c>
      <c r="I696" s="1" t="s">
        <v>77</v>
      </c>
      <c r="J696" s="1" t="s">
        <v>77</v>
      </c>
      <c r="K696" s="1" t="s">
        <v>77</v>
      </c>
      <c r="L696">
        <v>20220830080433</v>
      </c>
      <c r="M696" s="1" t="s">
        <v>1026</v>
      </c>
      <c r="N696" s="1" t="s">
        <v>140</v>
      </c>
      <c r="O696">
        <v>8</v>
      </c>
      <c r="P696" s="3">
        <v>44803</v>
      </c>
      <c r="Q696">
        <v>35</v>
      </c>
    </row>
    <row r="697" spans="1:17" x14ac:dyDescent="0.3">
      <c r="A697" s="1" t="s">
        <v>1021</v>
      </c>
      <c r="B697" s="2">
        <v>44803.336111111108</v>
      </c>
      <c r="C697" s="1" t="s">
        <v>37</v>
      </c>
      <c r="D697" s="1" t="s">
        <v>60</v>
      </c>
      <c r="E697" s="1" t="s">
        <v>61</v>
      </c>
      <c r="F697" s="1" t="s">
        <v>77</v>
      </c>
      <c r="G697" s="1" t="s">
        <v>77</v>
      </c>
      <c r="H697" s="1" t="s">
        <v>77</v>
      </c>
      <c r="I697" s="1" t="s">
        <v>77</v>
      </c>
      <c r="J697" s="1" t="s">
        <v>77</v>
      </c>
      <c r="K697" s="1" t="s">
        <v>77</v>
      </c>
      <c r="L697">
        <v>20220830080446</v>
      </c>
      <c r="M697" s="1" t="s">
        <v>1027</v>
      </c>
      <c r="N697" s="1" t="s">
        <v>140</v>
      </c>
      <c r="O697">
        <v>8</v>
      </c>
      <c r="P697" s="3">
        <v>44803</v>
      </c>
      <c r="Q697">
        <v>35</v>
      </c>
    </row>
    <row r="698" spans="1:17" x14ac:dyDescent="0.3">
      <c r="A698" s="1" t="s">
        <v>1021</v>
      </c>
      <c r="B698" s="2">
        <v>44803.336111111108</v>
      </c>
      <c r="C698" s="1" t="s">
        <v>37</v>
      </c>
      <c r="D698" s="1" t="s">
        <v>29</v>
      </c>
      <c r="E698" s="1" t="s">
        <v>30</v>
      </c>
      <c r="F698" s="1" t="s">
        <v>77</v>
      </c>
      <c r="G698" s="1" t="s">
        <v>77</v>
      </c>
      <c r="H698" s="1" t="s">
        <v>77</v>
      </c>
      <c r="I698" s="1" t="s">
        <v>77</v>
      </c>
      <c r="J698" s="1" t="s">
        <v>77</v>
      </c>
      <c r="K698" s="1" t="s">
        <v>77</v>
      </c>
      <c r="L698">
        <v>20220830080453</v>
      </c>
      <c r="M698" s="1" t="s">
        <v>1028</v>
      </c>
      <c r="N698" s="1" t="s">
        <v>140</v>
      </c>
      <c r="O698">
        <v>8</v>
      </c>
      <c r="P698" s="3">
        <v>44803</v>
      </c>
      <c r="Q698">
        <v>35</v>
      </c>
    </row>
    <row r="699" spans="1:17" x14ac:dyDescent="0.3">
      <c r="A699" s="1" t="s">
        <v>1029</v>
      </c>
      <c r="B699" s="2">
        <v>44803.336805555555</v>
      </c>
      <c r="C699" s="1" t="s">
        <v>37</v>
      </c>
      <c r="D699" s="1" t="s">
        <v>29</v>
      </c>
      <c r="E699" s="1" t="s">
        <v>554</v>
      </c>
      <c r="F699" s="1" t="s">
        <v>77</v>
      </c>
      <c r="G699" s="1" t="s">
        <v>77</v>
      </c>
      <c r="H699" s="1" t="s">
        <v>77</v>
      </c>
      <c r="I699" s="1" t="s">
        <v>77</v>
      </c>
      <c r="J699" s="1" t="s">
        <v>77</v>
      </c>
      <c r="K699" s="1" t="s">
        <v>77</v>
      </c>
      <c r="L699">
        <v>20220830080502</v>
      </c>
      <c r="M699" s="1" t="s">
        <v>1030</v>
      </c>
      <c r="N699" s="1" t="s">
        <v>140</v>
      </c>
      <c r="O699">
        <v>8</v>
      </c>
      <c r="P699" s="3">
        <v>44803</v>
      </c>
      <c r="Q699">
        <v>35</v>
      </c>
    </row>
    <row r="700" spans="1:17" x14ac:dyDescent="0.3">
      <c r="A700" s="1" t="s">
        <v>1029</v>
      </c>
      <c r="B700" s="2">
        <v>44803.336805555555</v>
      </c>
      <c r="C700" s="1" t="s">
        <v>434</v>
      </c>
      <c r="D700" s="1" t="s">
        <v>47</v>
      </c>
      <c r="E700" s="1" t="s">
        <v>77</v>
      </c>
      <c r="F700" s="1" t="s">
        <v>77</v>
      </c>
      <c r="G700" s="1" t="s">
        <v>77</v>
      </c>
      <c r="H700" s="1" t="s">
        <v>48</v>
      </c>
      <c r="I700" s="1" t="s">
        <v>435</v>
      </c>
      <c r="J700" s="1" t="s">
        <v>77</v>
      </c>
      <c r="K700" s="1" t="s">
        <v>77</v>
      </c>
      <c r="L700">
        <v>20220830080516</v>
      </c>
      <c r="M700" s="1" t="s">
        <v>1031</v>
      </c>
      <c r="N700" s="1" t="s">
        <v>140</v>
      </c>
      <c r="O700">
        <v>8</v>
      </c>
      <c r="P700" s="3">
        <v>44803</v>
      </c>
      <c r="Q700">
        <v>35</v>
      </c>
    </row>
    <row r="701" spans="1:17" x14ac:dyDescent="0.3">
      <c r="A701" s="1" t="s">
        <v>1032</v>
      </c>
      <c r="B701" s="2">
        <v>44804.37777777778</v>
      </c>
      <c r="C701" s="1" t="s">
        <v>37</v>
      </c>
      <c r="D701" s="1" t="s">
        <v>26</v>
      </c>
      <c r="E701" s="1" t="s">
        <v>27</v>
      </c>
      <c r="F701" s="1" t="s">
        <v>77</v>
      </c>
      <c r="G701" s="1" t="s">
        <v>77</v>
      </c>
      <c r="H701" s="1" t="s">
        <v>77</v>
      </c>
      <c r="I701" s="1" t="s">
        <v>77</v>
      </c>
      <c r="J701" s="1" t="s">
        <v>77</v>
      </c>
      <c r="K701" s="1" t="s">
        <v>77</v>
      </c>
      <c r="L701">
        <v>20220831090239</v>
      </c>
      <c r="M701" s="1" t="s">
        <v>1033</v>
      </c>
      <c r="N701" s="1" t="s">
        <v>24</v>
      </c>
      <c r="O701">
        <v>8</v>
      </c>
      <c r="P701" s="3">
        <v>44804</v>
      </c>
      <c r="Q701">
        <v>35</v>
      </c>
    </row>
    <row r="702" spans="1:17" x14ac:dyDescent="0.3">
      <c r="A702" s="1" t="s">
        <v>1034</v>
      </c>
      <c r="B702" s="2">
        <v>44804.37777777778</v>
      </c>
      <c r="C702" s="1" t="s">
        <v>37</v>
      </c>
      <c r="D702" s="1" t="s">
        <v>195</v>
      </c>
      <c r="E702" s="1" t="s">
        <v>21</v>
      </c>
      <c r="F702" s="1" t="s">
        <v>77</v>
      </c>
      <c r="G702" s="1" t="s">
        <v>77</v>
      </c>
      <c r="H702" s="1" t="s">
        <v>77</v>
      </c>
      <c r="I702" s="1" t="s">
        <v>77</v>
      </c>
      <c r="J702" s="1" t="s">
        <v>77</v>
      </c>
      <c r="K702" s="1" t="s">
        <v>77</v>
      </c>
      <c r="L702">
        <v>20220831090446</v>
      </c>
      <c r="M702" s="1" t="s">
        <v>1035</v>
      </c>
      <c r="N702" s="1" t="s">
        <v>24</v>
      </c>
      <c r="O702">
        <v>8</v>
      </c>
      <c r="P702" s="3">
        <v>44804</v>
      </c>
      <c r="Q702">
        <v>35</v>
      </c>
    </row>
    <row r="703" spans="1:17" x14ac:dyDescent="0.3">
      <c r="A703" s="1" t="s">
        <v>1034</v>
      </c>
      <c r="B703" s="2">
        <v>44804.37777777778</v>
      </c>
      <c r="C703" s="1" t="s">
        <v>37</v>
      </c>
      <c r="D703" s="1" t="s">
        <v>38</v>
      </c>
      <c r="E703" s="1" t="s">
        <v>39</v>
      </c>
      <c r="F703" s="1" t="s">
        <v>77</v>
      </c>
      <c r="G703" s="1" t="s">
        <v>77</v>
      </c>
      <c r="H703" s="1" t="s">
        <v>77</v>
      </c>
      <c r="I703" s="1" t="s">
        <v>77</v>
      </c>
      <c r="J703" s="1" t="s">
        <v>77</v>
      </c>
      <c r="K703" s="1" t="s">
        <v>77</v>
      </c>
      <c r="L703">
        <v>20220831090455</v>
      </c>
      <c r="M703" s="1" t="s">
        <v>1036</v>
      </c>
      <c r="N703" s="1" t="s">
        <v>24</v>
      </c>
      <c r="O703">
        <v>8</v>
      </c>
      <c r="P703" s="3">
        <v>44804</v>
      </c>
      <c r="Q703">
        <v>35</v>
      </c>
    </row>
    <row r="704" spans="1:17" x14ac:dyDescent="0.3">
      <c r="A704" s="1" t="s">
        <v>1037</v>
      </c>
      <c r="B704" s="2">
        <v>44804.378472222219</v>
      </c>
      <c r="C704" s="1" t="s">
        <v>37</v>
      </c>
      <c r="D704" s="1" t="s">
        <v>41</v>
      </c>
      <c r="E704" s="1" t="s">
        <v>42</v>
      </c>
      <c r="F704" s="1" t="s">
        <v>77</v>
      </c>
      <c r="G704" s="1" t="s">
        <v>77</v>
      </c>
      <c r="H704" s="1" t="s">
        <v>77</v>
      </c>
      <c r="I704" s="1" t="s">
        <v>77</v>
      </c>
      <c r="J704" s="1" t="s">
        <v>77</v>
      </c>
      <c r="K704" s="1" t="s">
        <v>77</v>
      </c>
      <c r="L704">
        <v>20220831090504</v>
      </c>
      <c r="M704" s="1" t="s">
        <v>1038</v>
      </c>
      <c r="N704" s="1" t="s">
        <v>24</v>
      </c>
      <c r="O704">
        <v>8</v>
      </c>
      <c r="P704" s="3">
        <v>44804</v>
      </c>
      <c r="Q704">
        <v>35</v>
      </c>
    </row>
    <row r="705" spans="1:17" x14ac:dyDescent="0.3">
      <c r="A705" s="1" t="s">
        <v>1037</v>
      </c>
      <c r="B705" s="2">
        <v>44804.378472222219</v>
      </c>
      <c r="C705" s="1" t="s">
        <v>37</v>
      </c>
      <c r="D705" s="1" t="s">
        <v>44</v>
      </c>
      <c r="E705" s="1" t="s">
        <v>45</v>
      </c>
      <c r="F705" s="1" t="s">
        <v>77</v>
      </c>
      <c r="G705" s="1" t="s">
        <v>77</v>
      </c>
      <c r="H705" s="1" t="s">
        <v>77</v>
      </c>
      <c r="I705" s="1" t="s">
        <v>77</v>
      </c>
      <c r="J705" s="1" t="s">
        <v>77</v>
      </c>
      <c r="K705" s="1" t="s">
        <v>77</v>
      </c>
      <c r="L705">
        <v>20220831090549</v>
      </c>
      <c r="M705" s="1" t="s">
        <v>1039</v>
      </c>
      <c r="N705" s="1" t="s">
        <v>24</v>
      </c>
      <c r="O705">
        <v>8</v>
      </c>
      <c r="P705" s="3">
        <v>44804</v>
      </c>
      <c r="Q705">
        <v>35</v>
      </c>
    </row>
    <row r="706" spans="1:17" x14ac:dyDescent="0.3">
      <c r="A706" s="1" t="s">
        <v>1037</v>
      </c>
      <c r="B706" s="2">
        <v>44804.379166666666</v>
      </c>
      <c r="C706" s="1" t="s">
        <v>37</v>
      </c>
      <c r="D706" s="1" t="s">
        <v>47</v>
      </c>
      <c r="E706" s="1" t="s">
        <v>51</v>
      </c>
      <c r="F706" s="1" t="s">
        <v>77</v>
      </c>
      <c r="G706" s="1" t="s">
        <v>77</v>
      </c>
      <c r="H706" s="1" t="s">
        <v>77</v>
      </c>
      <c r="I706" s="1" t="s">
        <v>77</v>
      </c>
      <c r="J706" s="1" t="s">
        <v>77</v>
      </c>
      <c r="K706" s="1" t="s">
        <v>77</v>
      </c>
      <c r="L706">
        <v>20220831090557</v>
      </c>
      <c r="M706" s="1" t="s">
        <v>1040</v>
      </c>
      <c r="N706" s="1" t="s">
        <v>24</v>
      </c>
      <c r="O706">
        <v>8</v>
      </c>
      <c r="P706" s="3">
        <v>44804</v>
      </c>
      <c r="Q706">
        <v>35</v>
      </c>
    </row>
    <row r="707" spans="1:17" x14ac:dyDescent="0.3">
      <c r="A707" s="1" t="s">
        <v>1041</v>
      </c>
      <c r="B707" s="2">
        <v>44804.379166666666</v>
      </c>
      <c r="C707" s="1" t="s">
        <v>37</v>
      </c>
      <c r="D707" s="1" t="s">
        <v>47</v>
      </c>
      <c r="E707" s="1" t="s">
        <v>536</v>
      </c>
      <c r="F707" s="1" t="s">
        <v>77</v>
      </c>
      <c r="G707" s="1" t="s">
        <v>77</v>
      </c>
      <c r="H707" s="1" t="s">
        <v>77</v>
      </c>
      <c r="I707" s="1" t="s">
        <v>77</v>
      </c>
      <c r="J707" s="1" t="s">
        <v>77</v>
      </c>
      <c r="K707" s="1" t="s">
        <v>77</v>
      </c>
      <c r="L707">
        <v>20220831090605</v>
      </c>
      <c r="M707" s="1" t="s">
        <v>1042</v>
      </c>
      <c r="N707" s="1" t="s">
        <v>24</v>
      </c>
      <c r="O707">
        <v>8</v>
      </c>
      <c r="P707" s="3">
        <v>44804</v>
      </c>
      <c r="Q707">
        <v>35</v>
      </c>
    </row>
    <row r="708" spans="1:17" x14ac:dyDescent="0.3">
      <c r="A708" s="1" t="s">
        <v>1041</v>
      </c>
      <c r="B708" s="2">
        <v>44804.379166666666</v>
      </c>
      <c r="C708" s="1" t="s">
        <v>37</v>
      </c>
      <c r="D708" s="1" t="s">
        <v>53</v>
      </c>
      <c r="E708" s="1" t="s">
        <v>54</v>
      </c>
      <c r="F708" s="1" t="s">
        <v>77</v>
      </c>
      <c r="G708" s="1" t="s">
        <v>77</v>
      </c>
      <c r="H708" s="1" t="s">
        <v>77</v>
      </c>
      <c r="I708" s="1" t="s">
        <v>77</v>
      </c>
      <c r="J708" s="1" t="s">
        <v>77</v>
      </c>
      <c r="K708" s="1" t="s">
        <v>77</v>
      </c>
      <c r="L708">
        <v>20220831090612</v>
      </c>
      <c r="M708" s="1" t="s">
        <v>1043</v>
      </c>
      <c r="N708" s="1" t="s">
        <v>24</v>
      </c>
      <c r="O708">
        <v>8</v>
      </c>
      <c r="P708" s="3">
        <v>44804</v>
      </c>
      <c r="Q708">
        <v>35</v>
      </c>
    </row>
    <row r="709" spans="1:17" x14ac:dyDescent="0.3">
      <c r="A709" s="1" t="s">
        <v>1041</v>
      </c>
      <c r="B709" s="2">
        <v>44804.379166666666</v>
      </c>
      <c r="C709" s="1" t="s">
        <v>37</v>
      </c>
      <c r="D709" s="1" t="s">
        <v>19</v>
      </c>
      <c r="E709" s="1" t="s">
        <v>58</v>
      </c>
      <c r="F709" s="1" t="s">
        <v>77</v>
      </c>
      <c r="G709" s="1" t="s">
        <v>77</v>
      </c>
      <c r="H709" s="1" t="s">
        <v>77</v>
      </c>
      <c r="I709" s="1" t="s">
        <v>77</v>
      </c>
      <c r="J709" s="1" t="s">
        <v>77</v>
      </c>
      <c r="K709" s="1" t="s">
        <v>77</v>
      </c>
      <c r="L709">
        <v>20220831090619</v>
      </c>
      <c r="M709" s="1" t="s">
        <v>1044</v>
      </c>
      <c r="N709" s="1" t="s">
        <v>24</v>
      </c>
      <c r="O709">
        <v>8</v>
      </c>
      <c r="P709" s="3">
        <v>44804</v>
      </c>
      <c r="Q709">
        <v>35</v>
      </c>
    </row>
    <row r="710" spans="1:17" x14ac:dyDescent="0.3">
      <c r="A710" s="1" t="s">
        <v>1041</v>
      </c>
      <c r="B710" s="2">
        <v>44804.379166666666</v>
      </c>
      <c r="C710" s="1" t="s">
        <v>37</v>
      </c>
      <c r="D710" s="1" t="s">
        <v>60</v>
      </c>
      <c r="E710" s="1" t="s">
        <v>61</v>
      </c>
      <c r="F710" s="1" t="s">
        <v>77</v>
      </c>
      <c r="G710" s="1" t="s">
        <v>77</v>
      </c>
      <c r="H710" s="1" t="s">
        <v>77</v>
      </c>
      <c r="I710" s="1" t="s">
        <v>77</v>
      </c>
      <c r="J710" s="1" t="s">
        <v>77</v>
      </c>
      <c r="K710" s="1" t="s">
        <v>77</v>
      </c>
      <c r="L710">
        <v>20220831090627</v>
      </c>
      <c r="M710" s="1" t="s">
        <v>1045</v>
      </c>
      <c r="N710" s="1" t="s">
        <v>24</v>
      </c>
      <c r="O710">
        <v>8</v>
      </c>
      <c r="P710" s="3">
        <v>44804</v>
      </c>
      <c r="Q710">
        <v>35</v>
      </c>
    </row>
    <row r="711" spans="1:17" x14ac:dyDescent="0.3">
      <c r="A711" s="1" t="s">
        <v>1041</v>
      </c>
      <c r="B711" s="2">
        <v>44804.379861111112</v>
      </c>
      <c r="C711" s="1" t="s">
        <v>434</v>
      </c>
      <c r="D711" s="1" t="s">
        <v>47</v>
      </c>
      <c r="E711" s="1" t="s">
        <v>77</v>
      </c>
      <c r="F711" s="1" t="s">
        <v>77</v>
      </c>
      <c r="G711" s="1" t="s">
        <v>77</v>
      </c>
      <c r="H711" s="1" t="s">
        <v>48</v>
      </c>
      <c r="I711" s="1" t="s">
        <v>435</v>
      </c>
      <c r="J711" s="1" t="s">
        <v>77</v>
      </c>
      <c r="K711" s="1" t="s">
        <v>77</v>
      </c>
      <c r="L711">
        <v>20220831090659</v>
      </c>
      <c r="M711" s="1" t="s">
        <v>1046</v>
      </c>
      <c r="N711" s="1" t="s">
        <v>24</v>
      </c>
      <c r="O711">
        <v>8</v>
      </c>
      <c r="P711" s="3">
        <v>44804</v>
      </c>
      <c r="Q711">
        <v>35</v>
      </c>
    </row>
    <row r="712" spans="1:17" x14ac:dyDescent="0.3">
      <c r="A712" s="1" t="s">
        <v>1047</v>
      </c>
      <c r="B712" s="2">
        <v>44804.381249999999</v>
      </c>
      <c r="C712" s="1" t="s">
        <v>37</v>
      </c>
      <c r="D712" s="1" t="s">
        <v>53</v>
      </c>
      <c r="E712" s="1" t="s">
        <v>56</v>
      </c>
      <c r="F712" s="1" t="s">
        <v>77</v>
      </c>
      <c r="G712" s="1" t="s">
        <v>77</v>
      </c>
      <c r="H712" s="1" t="s">
        <v>77</v>
      </c>
      <c r="I712" s="1" t="s">
        <v>77</v>
      </c>
      <c r="J712" s="1" t="s">
        <v>77</v>
      </c>
      <c r="K712" s="1" t="s">
        <v>77</v>
      </c>
      <c r="L712">
        <v>20220831090903</v>
      </c>
      <c r="M712" s="1" t="s">
        <v>1048</v>
      </c>
      <c r="N712" s="1" t="s">
        <v>24</v>
      </c>
      <c r="O712">
        <v>8</v>
      </c>
      <c r="P712" s="3">
        <v>44804</v>
      </c>
      <c r="Q712">
        <v>35</v>
      </c>
    </row>
    <row r="713" spans="1:17" x14ac:dyDescent="0.3">
      <c r="A713" s="1" t="s">
        <v>1047</v>
      </c>
      <c r="B713" s="2">
        <v>44804.381249999999</v>
      </c>
      <c r="C713" s="1" t="s">
        <v>18</v>
      </c>
      <c r="D713" s="1" t="s">
        <v>29</v>
      </c>
      <c r="E713" s="1" t="s">
        <v>77</v>
      </c>
      <c r="F713" s="1" t="s">
        <v>77</v>
      </c>
      <c r="G713" s="1" t="s">
        <v>77</v>
      </c>
      <c r="H713" s="1" t="s">
        <v>77</v>
      </c>
      <c r="I713" s="1" t="s">
        <v>77</v>
      </c>
      <c r="J713" s="1" t="s">
        <v>30</v>
      </c>
      <c r="K713" s="1" t="s">
        <v>175</v>
      </c>
      <c r="L713">
        <v>20220831090929</v>
      </c>
      <c r="M713" s="1" t="s">
        <v>1049</v>
      </c>
      <c r="N713" s="1" t="s">
        <v>24</v>
      </c>
      <c r="O713">
        <v>8</v>
      </c>
      <c r="P713" s="3">
        <v>44804</v>
      </c>
      <c r="Q713">
        <v>35</v>
      </c>
    </row>
    <row r="714" spans="1:17" x14ac:dyDescent="0.3">
      <c r="A714" s="1" t="s">
        <v>1047</v>
      </c>
      <c r="B714" s="2">
        <v>44804.381249999999</v>
      </c>
      <c r="C714" s="1" t="s">
        <v>18</v>
      </c>
      <c r="D714" s="1" t="s">
        <v>29</v>
      </c>
      <c r="E714" s="1" t="s">
        <v>77</v>
      </c>
      <c r="F714" s="1" t="s">
        <v>77</v>
      </c>
      <c r="G714" s="1" t="s">
        <v>77</v>
      </c>
      <c r="H714" s="1" t="s">
        <v>77</v>
      </c>
      <c r="I714" s="1" t="s">
        <v>77</v>
      </c>
      <c r="J714" s="1" t="s">
        <v>554</v>
      </c>
      <c r="K714" s="1" t="s">
        <v>31</v>
      </c>
      <c r="L714">
        <v>20220831090944</v>
      </c>
      <c r="M714" s="1" t="s">
        <v>1050</v>
      </c>
      <c r="N714" s="1" t="s">
        <v>24</v>
      </c>
      <c r="O714">
        <v>8</v>
      </c>
      <c r="P714" s="3">
        <v>44804</v>
      </c>
      <c r="Q714">
        <v>35</v>
      </c>
    </row>
    <row r="715" spans="1:17" x14ac:dyDescent="0.3">
      <c r="A715" s="1" t="s">
        <v>1051</v>
      </c>
      <c r="B715" s="2">
        <v>44805.371527777781</v>
      </c>
      <c r="C715" s="1" t="s">
        <v>37</v>
      </c>
      <c r="D715" s="1" t="s">
        <v>26</v>
      </c>
      <c r="E715" s="1" t="s">
        <v>27</v>
      </c>
      <c r="F715" s="1" t="s">
        <v>77</v>
      </c>
      <c r="G715" s="1" t="s">
        <v>77</v>
      </c>
      <c r="H715" s="1" t="s">
        <v>77</v>
      </c>
      <c r="I715" s="1" t="s">
        <v>77</v>
      </c>
      <c r="J715" s="1" t="s">
        <v>77</v>
      </c>
      <c r="K715" s="1" t="s">
        <v>77</v>
      </c>
      <c r="L715">
        <v>20220901085546</v>
      </c>
      <c r="M715" s="1" t="s">
        <v>1052</v>
      </c>
      <c r="N715" s="1" t="s">
        <v>65</v>
      </c>
      <c r="O715">
        <v>9</v>
      </c>
      <c r="P715" s="3">
        <v>44805</v>
      </c>
      <c r="Q715">
        <v>35</v>
      </c>
    </row>
    <row r="716" spans="1:17" x14ac:dyDescent="0.3">
      <c r="A716" s="1" t="s">
        <v>1051</v>
      </c>
      <c r="B716" s="2">
        <v>44805.371527777781</v>
      </c>
      <c r="C716" s="1" t="s">
        <v>37</v>
      </c>
      <c r="D716" s="1" t="s">
        <v>195</v>
      </c>
      <c r="E716" s="1" t="s">
        <v>21</v>
      </c>
      <c r="F716" s="1" t="s">
        <v>77</v>
      </c>
      <c r="G716" s="1" t="s">
        <v>77</v>
      </c>
      <c r="H716" s="1" t="s">
        <v>77</v>
      </c>
      <c r="I716" s="1" t="s">
        <v>77</v>
      </c>
      <c r="J716" s="1" t="s">
        <v>77</v>
      </c>
      <c r="K716" s="1" t="s">
        <v>77</v>
      </c>
      <c r="L716">
        <v>20220901085554</v>
      </c>
      <c r="M716" s="1" t="s">
        <v>1053</v>
      </c>
      <c r="N716" s="1" t="s">
        <v>65</v>
      </c>
      <c r="O716">
        <v>9</v>
      </c>
      <c r="P716" s="3">
        <v>44805</v>
      </c>
      <c r="Q716">
        <v>35</v>
      </c>
    </row>
    <row r="717" spans="1:17" x14ac:dyDescent="0.3">
      <c r="A717" s="1" t="s">
        <v>1054</v>
      </c>
      <c r="B717" s="2">
        <v>44805.37222222222</v>
      </c>
      <c r="C717" s="1" t="s">
        <v>37</v>
      </c>
      <c r="D717" s="1" t="s">
        <v>38</v>
      </c>
      <c r="E717" s="1" t="s">
        <v>39</v>
      </c>
      <c r="F717" s="1" t="s">
        <v>77</v>
      </c>
      <c r="G717" s="1" t="s">
        <v>77</v>
      </c>
      <c r="H717" s="1" t="s">
        <v>77</v>
      </c>
      <c r="I717" s="1" t="s">
        <v>77</v>
      </c>
      <c r="J717" s="1" t="s">
        <v>77</v>
      </c>
      <c r="K717" s="1" t="s">
        <v>77</v>
      </c>
      <c r="L717">
        <v>20220901085636</v>
      </c>
      <c r="M717" s="1" t="s">
        <v>1055</v>
      </c>
      <c r="N717" s="1" t="s">
        <v>65</v>
      </c>
      <c r="O717">
        <v>9</v>
      </c>
      <c r="P717" s="3">
        <v>44805</v>
      </c>
      <c r="Q717">
        <v>35</v>
      </c>
    </row>
    <row r="718" spans="1:17" x14ac:dyDescent="0.3">
      <c r="A718" s="1" t="s">
        <v>1054</v>
      </c>
      <c r="B718" s="2">
        <v>44805.37222222222</v>
      </c>
      <c r="C718" s="1" t="s">
        <v>37</v>
      </c>
      <c r="D718" s="1" t="s">
        <v>41</v>
      </c>
      <c r="E718" s="1" t="s">
        <v>42</v>
      </c>
      <c r="F718" s="1" t="s">
        <v>77</v>
      </c>
      <c r="G718" s="1" t="s">
        <v>77</v>
      </c>
      <c r="H718" s="1" t="s">
        <v>77</v>
      </c>
      <c r="I718" s="1" t="s">
        <v>77</v>
      </c>
      <c r="J718" s="1" t="s">
        <v>77</v>
      </c>
      <c r="K718" s="1" t="s">
        <v>77</v>
      </c>
      <c r="L718">
        <v>20220901085643</v>
      </c>
      <c r="M718" s="1" t="s">
        <v>1056</v>
      </c>
      <c r="N718" s="1" t="s">
        <v>65</v>
      </c>
      <c r="O718">
        <v>9</v>
      </c>
      <c r="P718" s="3">
        <v>44805</v>
      </c>
      <c r="Q718">
        <v>35</v>
      </c>
    </row>
    <row r="719" spans="1:17" x14ac:dyDescent="0.3">
      <c r="A719" s="1" t="s">
        <v>1054</v>
      </c>
      <c r="B719" s="2">
        <v>44805.37222222222</v>
      </c>
      <c r="C719" s="1" t="s">
        <v>37</v>
      </c>
      <c r="D719" s="1" t="s">
        <v>44</v>
      </c>
      <c r="E719" s="1" t="s">
        <v>45</v>
      </c>
      <c r="F719" s="1" t="s">
        <v>77</v>
      </c>
      <c r="G719" s="1" t="s">
        <v>77</v>
      </c>
      <c r="H719" s="1" t="s">
        <v>77</v>
      </c>
      <c r="I719" s="1" t="s">
        <v>77</v>
      </c>
      <c r="J719" s="1" t="s">
        <v>77</v>
      </c>
      <c r="K719" s="1" t="s">
        <v>77</v>
      </c>
      <c r="L719">
        <v>20220901085653</v>
      </c>
      <c r="M719" s="1" t="s">
        <v>1057</v>
      </c>
      <c r="N719" s="1" t="s">
        <v>65</v>
      </c>
      <c r="O719">
        <v>9</v>
      </c>
      <c r="P719" s="3">
        <v>44805</v>
      </c>
      <c r="Q719">
        <v>35</v>
      </c>
    </row>
    <row r="720" spans="1:17" x14ac:dyDescent="0.3">
      <c r="A720" s="1" t="s">
        <v>1058</v>
      </c>
      <c r="B720" s="2">
        <v>44805.372916666667</v>
      </c>
      <c r="C720" s="1" t="s">
        <v>37</v>
      </c>
      <c r="D720" s="1" t="s">
        <v>47</v>
      </c>
      <c r="E720" s="1" t="s">
        <v>51</v>
      </c>
      <c r="F720" s="1" t="s">
        <v>77</v>
      </c>
      <c r="G720" s="1" t="s">
        <v>77</v>
      </c>
      <c r="H720" s="1" t="s">
        <v>77</v>
      </c>
      <c r="I720" s="1" t="s">
        <v>77</v>
      </c>
      <c r="J720" s="1" t="s">
        <v>77</v>
      </c>
      <c r="K720" s="1" t="s">
        <v>77</v>
      </c>
      <c r="L720">
        <v>20220901085702</v>
      </c>
      <c r="M720" s="1" t="s">
        <v>1059</v>
      </c>
      <c r="N720" s="1" t="s">
        <v>65</v>
      </c>
      <c r="O720">
        <v>9</v>
      </c>
      <c r="P720" s="3">
        <v>44805</v>
      </c>
      <c r="Q720">
        <v>35</v>
      </c>
    </row>
    <row r="721" spans="1:17" x14ac:dyDescent="0.3">
      <c r="A721" s="1" t="s">
        <v>1058</v>
      </c>
      <c r="B721" s="2">
        <v>44805.372916666667</v>
      </c>
      <c r="C721" s="1" t="s">
        <v>37</v>
      </c>
      <c r="D721" s="1" t="s">
        <v>47</v>
      </c>
      <c r="E721" s="1" t="s">
        <v>536</v>
      </c>
      <c r="F721" s="1" t="s">
        <v>77</v>
      </c>
      <c r="G721" s="1" t="s">
        <v>77</v>
      </c>
      <c r="H721" s="1" t="s">
        <v>77</v>
      </c>
      <c r="I721" s="1" t="s">
        <v>77</v>
      </c>
      <c r="J721" s="1" t="s">
        <v>77</v>
      </c>
      <c r="K721" s="1" t="s">
        <v>77</v>
      </c>
      <c r="L721">
        <v>20220901085709</v>
      </c>
      <c r="M721" s="1" t="s">
        <v>1060</v>
      </c>
      <c r="N721" s="1" t="s">
        <v>65</v>
      </c>
      <c r="O721">
        <v>9</v>
      </c>
      <c r="P721" s="3">
        <v>44805</v>
      </c>
      <c r="Q721">
        <v>35</v>
      </c>
    </row>
    <row r="722" spans="1:17" x14ac:dyDescent="0.3">
      <c r="A722" s="1" t="s">
        <v>1058</v>
      </c>
      <c r="B722" s="2">
        <v>44805.372916666667</v>
      </c>
      <c r="C722" s="1" t="s">
        <v>37</v>
      </c>
      <c r="D722" s="1" t="s">
        <v>53</v>
      </c>
      <c r="E722" s="1" t="s">
        <v>54</v>
      </c>
      <c r="F722" s="1" t="s">
        <v>77</v>
      </c>
      <c r="G722" s="1" t="s">
        <v>77</v>
      </c>
      <c r="H722" s="1" t="s">
        <v>77</v>
      </c>
      <c r="I722" s="1" t="s">
        <v>77</v>
      </c>
      <c r="J722" s="1" t="s">
        <v>77</v>
      </c>
      <c r="K722" s="1" t="s">
        <v>77</v>
      </c>
      <c r="L722">
        <v>20220901085717</v>
      </c>
      <c r="M722" s="1" t="s">
        <v>1061</v>
      </c>
      <c r="N722" s="1" t="s">
        <v>65</v>
      </c>
      <c r="O722">
        <v>9</v>
      </c>
      <c r="P722" s="3">
        <v>44805</v>
      </c>
      <c r="Q722">
        <v>35</v>
      </c>
    </row>
    <row r="723" spans="1:17" x14ac:dyDescent="0.3">
      <c r="A723" s="1" t="s">
        <v>1058</v>
      </c>
      <c r="B723" s="2">
        <v>44805.372916666667</v>
      </c>
      <c r="C723" s="1" t="s">
        <v>37</v>
      </c>
      <c r="D723" s="1" t="s">
        <v>53</v>
      </c>
      <c r="E723" s="1" t="s">
        <v>56</v>
      </c>
      <c r="F723" s="1" t="s">
        <v>77</v>
      </c>
      <c r="G723" s="1" t="s">
        <v>77</v>
      </c>
      <c r="H723" s="1" t="s">
        <v>77</v>
      </c>
      <c r="I723" s="1" t="s">
        <v>77</v>
      </c>
      <c r="J723" s="1" t="s">
        <v>77</v>
      </c>
      <c r="K723" s="1" t="s">
        <v>77</v>
      </c>
      <c r="L723">
        <v>20220901085724</v>
      </c>
      <c r="M723" s="1" t="s">
        <v>1062</v>
      </c>
      <c r="N723" s="1" t="s">
        <v>65</v>
      </c>
      <c r="O723">
        <v>9</v>
      </c>
      <c r="P723" s="3">
        <v>44805</v>
      </c>
      <c r="Q723">
        <v>35</v>
      </c>
    </row>
    <row r="724" spans="1:17" x14ac:dyDescent="0.3">
      <c r="A724" s="1" t="s">
        <v>1058</v>
      </c>
      <c r="B724" s="2">
        <v>44805.372916666667</v>
      </c>
      <c r="C724" s="1" t="s">
        <v>37</v>
      </c>
      <c r="D724" s="1" t="s">
        <v>19</v>
      </c>
      <c r="E724" s="1" t="s">
        <v>58</v>
      </c>
      <c r="F724" s="1" t="s">
        <v>77</v>
      </c>
      <c r="G724" s="1" t="s">
        <v>77</v>
      </c>
      <c r="H724" s="1" t="s">
        <v>77</v>
      </c>
      <c r="I724" s="1" t="s">
        <v>77</v>
      </c>
      <c r="J724" s="1" t="s">
        <v>77</v>
      </c>
      <c r="K724" s="1" t="s">
        <v>77</v>
      </c>
      <c r="L724">
        <v>20220901085748</v>
      </c>
      <c r="M724" s="1" t="s">
        <v>1063</v>
      </c>
      <c r="N724" s="1" t="s">
        <v>65</v>
      </c>
      <c r="O724">
        <v>9</v>
      </c>
      <c r="P724" s="3">
        <v>44805</v>
      </c>
      <c r="Q724">
        <v>35</v>
      </c>
    </row>
    <row r="725" spans="1:17" x14ac:dyDescent="0.3">
      <c r="A725" s="1" t="s">
        <v>1058</v>
      </c>
      <c r="B725" s="2">
        <v>44805.372916666667</v>
      </c>
      <c r="C725" s="1" t="s">
        <v>37</v>
      </c>
      <c r="D725" s="1" t="s">
        <v>60</v>
      </c>
      <c r="E725" s="1" t="s">
        <v>61</v>
      </c>
      <c r="F725" s="1" t="s">
        <v>77</v>
      </c>
      <c r="G725" s="1" t="s">
        <v>77</v>
      </c>
      <c r="H725" s="1" t="s">
        <v>77</v>
      </c>
      <c r="I725" s="1" t="s">
        <v>77</v>
      </c>
      <c r="J725" s="1" t="s">
        <v>77</v>
      </c>
      <c r="K725" s="1" t="s">
        <v>77</v>
      </c>
      <c r="L725">
        <v>20220901085755</v>
      </c>
      <c r="M725" s="1" t="s">
        <v>1064</v>
      </c>
      <c r="N725" s="1" t="s">
        <v>65</v>
      </c>
      <c r="O725">
        <v>9</v>
      </c>
      <c r="P725" s="3">
        <v>44805</v>
      </c>
      <c r="Q725">
        <v>35</v>
      </c>
    </row>
    <row r="726" spans="1:17" x14ac:dyDescent="0.3">
      <c r="A726" s="1" t="s">
        <v>1065</v>
      </c>
      <c r="B726" s="2">
        <v>44805.373611111114</v>
      </c>
      <c r="C726" s="1" t="s">
        <v>37</v>
      </c>
      <c r="D726" s="1" t="s">
        <v>29</v>
      </c>
      <c r="E726" s="1" t="s">
        <v>30</v>
      </c>
      <c r="F726" s="1" t="s">
        <v>77</v>
      </c>
      <c r="G726" s="1" t="s">
        <v>77</v>
      </c>
      <c r="H726" s="1" t="s">
        <v>77</v>
      </c>
      <c r="I726" s="1" t="s">
        <v>77</v>
      </c>
      <c r="J726" s="1" t="s">
        <v>77</v>
      </c>
      <c r="K726" s="1" t="s">
        <v>77</v>
      </c>
      <c r="L726">
        <v>20220901085802</v>
      </c>
      <c r="M726" s="1" t="s">
        <v>1066</v>
      </c>
      <c r="N726" s="1" t="s">
        <v>65</v>
      </c>
      <c r="O726">
        <v>9</v>
      </c>
      <c r="P726" s="3">
        <v>44805</v>
      </c>
      <c r="Q726">
        <v>35</v>
      </c>
    </row>
    <row r="727" spans="1:17" x14ac:dyDescent="0.3">
      <c r="A727" s="1" t="s">
        <v>1065</v>
      </c>
      <c r="B727" s="2">
        <v>44805.373611111114</v>
      </c>
      <c r="C727" s="1" t="s">
        <v>434</v>
      </c>
      <c r="D727" s="1" t="s">
        <v>47</v>
      </c>
      <c r="E727" s="1" t="s">
        <v>77</v>
      </c>
      <c r="F727" s="1" t="s">
        <v>77</v>
      </c>
      <c r="G727" s="1" t="s">
        <v>77</v>
      </c>
      <c r="H727" s="1" t="s">
        <v>48</v>
      </c>
      <c r="I727" s="1" t="s">
        <v>435</v>
      </c>
      <c r="J727" s="1" t="s">
        <v>77</v>
      </c>
      <c r="K727" s="1" t="s">
        <v>77</v>
      </c>
      <c r="L727">
        <v>20220901085812</v>
      </c>
      <c r="M727" s="1" t="s">
        <v>1067</v>
      </c>
      <c r="N727" s="1" t="s">
        <v>65</v>
      </c>
      <c r="O727">
        <v>9</v>
      </c>
      <c r="P727" s="3">
        <v>44805</v>
      </c>
      <c r="Q727">
        <v>35</v>
      </c>
    </row>
    <row r="728" spans="1:17" x14ac:dyDescent="0.3">
      <c r="A728" s="1" t="s">
        <v>1065</v>
      </c>
      <c r="B728" s="2">
        <v>44805.373611111114</v>
      </c>
      <c r="C728" s="1" t="s">
        <v>37</v>
      </c>
      <c r="D728" s="1" t="s">
        <v>29</v>
      </c>
      <c r="E728" s="1" t="s">
        <v>554</v>
      </c>
      <c r="F728" s="1" t="s">
        <v>77</v>
      </c>
      <c r="G728" s="1" t="s">
        <v>77</v>
      </c>
      <c r="H728" s="1" t="s">
        <v>77</v>
      </c>
      <c r="I728" s="1" t="s">
        <v>77</v>
      </c>
      <c r="J728" s="1" t="s">
        <v>20</v>
      </c>
      <c r="K728" s="1" t="s">
        <v>20</v>
      </c>
      <c r="L728">
        <v>20220901085824</v>
      </c>
      <c r="M728" s="1" t="s">
        <v>1068</v>
      </c>
      <c r="N728" s="1" t="s">
        <v>65</v>
      </c>
      <c r="O728">
        <v>9</v>
      </c>
      <c r="P728" s="3">
        <v>44805</v>
      </c>
      <c r="Q728">
        <v>35</v>
      </c>
    </row>
    <row r="729" spans="1:17" x14ac:dyDescent="0.3">
      <c r="A729" s="1" t="s">
        <v>1069</v>
      </c>
      <c r="B729" s="2">
        <v>44806.386805555558</v>
      </c>
      <c r="C729" s="1" t="s">
        <v>37</v>
      </c>
      <c r="D729" s="1" t="s">
        <v>26</v>
      </c>
      <c r="E729" s="1" t="s">
        <v>27</v>
      </c>
      <c r="F729" s="1" t="s">
        <v>77</v>
      </c>
      <c r="G729" s="1" t="s">
        <v>77</v>
      </c>
      <c r="H729" s="1" t="s">
        <v>77</v>
      </c>
      <c r="I729" s="1" t="s">
        <v>77</v>
      </c>
      <c r="J729" s="1" t="s">
        <v>77</v>
      </c>
      <c r="K729" s="1" t="s">
        <v>77</v>
      </c>
      <c r="L729">
        <v>20220902091701</v>
      </c>
      <c r="M729" s="1" t="s">
        <v>1070</v>
      </c>
      <c r="N729" s="1" t="s">
        <v>84</v>
      </c>
      <c r="O729">
        <v>9</v>
      </c>
      <c r="P729" s="3">
        <v>44806</v>
      </c>
      <c r="Q729">
        <v>35</v>
      </c>
    </row>
    <row r="730" spans="1:17" x14ac:dyDescent="0.3">
      <c r="A730" s="1" t="s">
        <v>1069</v>
      </c>
      <c r="B730" s="2">
        <v>44806.386805555558</v>
      </c>
      <c r="C730" s="1" t="s">
        <v>37</v>
      </c>
      <c r="D730" s="1" t="s">
        <v>195</v>
      </c>
      <c r="E730" s="1" t="s">
        <v>21</v>
      </c>
      <c r="F730" s="1" t="s">
        <v>77</v>
      </c>
      <c r="G730" s="1" t="s">
        <v>77</v>
      </c>
      <c r="H730" s="1" t="s">
        <v>77</v>
      </c>
      <c r="I730" s="1" t="s">
        <v>77</v>
      </c>
      <c r="J730" s="1" t="s">
        <v>77</v>
      </c>
      <c r="K730" s="1" t="s">
        <v>77</v>
      </c>
      <c r="L730">
        <v>20220902091709</v>
      </c>
      <c r="M730" s="1" t="s">
        <v>1071</v>
      </c>
      <c r="N730" s="1" t="s">
        <v>84</v>
      </c>
      <c r="O730">
        <v>9</v>
      </c>
      <c r="P730" s="3">
        <v>44806</v>
      </c>
      <c r="Q730">
        <v>35</v>
      </c>
    </row>
    <row r="731" spans="1:17" x14ac:dyDescent="0.3">
      <c r="A731" s="1" t="s">
        <v>1069</v>
      </c>
      <c r="B731" s="2">
        <v>44806.386805555558</v>
      </c>
      <c r="C731" s="1" t="s">
        <v>37</v>
      </c>
      <c r="D731" s="1" t="s">
        <v>38</v>
      </c>
      <c r="E731" s="1" t="s">
        <v>39</v>
      </c>
      <c r="F731" s="1" t="s">
        <v>77</v>
      </c>
      <c r="G731" s="1" t="s">
        <v>77</v>
      </c>
      <c r="H731" s="1" t="s">
        <v>77</v>
      </c>
      <c r="I731" s="1" t="s">
        <v>77</v>
      </c>
      <c r="J731" s="1" t="s">
        <v>77</v>
      </c>
      <c r="K731" s="1" t="s">
        <v>77</v>
      </c>
      <c r="L731">
        <v>20220902091744</v>
      </c>
      <c r="M731" s="1" t="s">
        <v>1072</v>
      </c>
      <c r="N731" s="1" t="s">
        <v>84</v>
      </c>
      <c r="O731">
        <v>9</v>
      </c>
      <c r="P731" s="3">
        <v>44806</v>
      </c>
      <c r="Q731">
        <v>35</v>
      </c>
    </row>
    <row r="732" spans="1:17" x14ac:dyDescent="0.3">
      <c r="A732" s="1" t="s">
        <v>1069</v>
      </c>
      <c r="B732" s="2">
        <v>44806.386805555558</v>
      </c>
      <c r="C732" s="1" t="s">
        <v>37</v>
      </c>
      <c r="D732" s="1" t="s">
        <v>41</v>
      </c>
      <c r="E732" s="1" t="s">
        <v>42</v>
      </c>
      <c r="F732" s="1" t="s">
        <v>77</v>
      </c>
      <c r="G732" s="1" t="s">
        <v>77</v>
      </c>
      <c r="H732" s="1" t="s">
        <v>77</v>
      </c>
      <c r="I732" s="1" t="s">
        <v>77</v>
      </c>
      <c r="J732" s="1" t="s">
        <v>77</v>
      </c>
      <c r="K732" s="1" t="s">
        <v>77</v>
      </c>
      <c r="L732">
        <v>20220902091753</v>
      </c>
      <c r="M732" s="1" t="s">
        <v>1073</v>
      </c>
      <c r="N732" s="1" t="s">
        <v>84</v>
      </c>
      <c r="O732">
        <v>9</v>
      </c>
      <c r="P732" s="3">
        <v>44806</v>
      </c>
      <c r="Q732">
        <v>35</v>
      </c>
    </row>
    <row r="733" spans="1:17" x14ac:dyDescent="0.3">
      <c r="A733" s="1" t="s">
        <v>1074</v>
      </c>
      <c r="B733" s="2">
        <v>44806.387499999997</v>
      </c>
      <c r="C733" s="1" t="s">
        <v>37</v>
      </c>
      <c r="D733" s="1" t="s">
        <v>44</v>
      </c>
      <c r="E733" s="1" t="s">
        <v>45</v>
      </c>
      <c r="F733" s="1" t="s">
        <v>77</v>
      </c>
      <c r="G733" s="1" t="s">
        <v>77</v>
      </c>
      <c r="H733" s="1" t="s">
        <v>77</v>
      </c>
      <c r="I733" s="1" t="s">
        <v>77</v>
      </c>
      <c r="J733" s="1" t="s">
        <v>77</v>
      </c>
      <c r="K733" s="1" t="s">
        <v>77</v>
      </c>
      <c r="L733">
        <v>20220902091801</v>
      </c>
      <c r="M733" s="1" t="s">
        <v>1075</v>
      </c>
      <c r="N733" s="1" t="s">
        <v>84</v>
      </c>
      <c r="O733">
        <v>9</v>
      </c>
      <c r="P733" s="3">
        <v>44806</v>
      </c>
      <c r="Q733">
        <v>35</v>
      </c>
    </row>
    <row r="734" spans="1:17" x14ac:dyDescent="0.3">
      <c r="A734" s="1" t="s">
        <v>1074</v>
      </c>
      <c r="B734" s="2">
        <v>44806.387499999997</v>
      </c>
      <c r="C734" s="1" t="s">
        <v>37</v>
      </c>
      <c r="D734" s="1" t="s">
        <v>47</v>
      </c>
      <c r="E734" s="1" t="s">
        <v>51</v>
      </c>
      <c r="F734" s="1" t="s">
        <v>77</v>
      </c>
      <c r="G734" s="1" t="s">
        <v>77</v>
      </c>
      <c r="H734" s="1" t="s">
        <v>77</v>
      </c>
      <c r="I734" s="1" t="s">
        <v>77</v>
      </c>
      <c r="J734" s="1" t="s">
        <v>77</v>
      </c>
      <c r="K734" s="1" t="s">
        <v>77</v>
      </c>
      <c r="L734">
        <v>20220902091808</v>
      </c>
      <c r="M734" s="1" t="s">
        <v>1076</v>
      </c>
      <c r="N734" s="1" t="s">
        <v>84</v>
      </c>
      <c r="O734">
        <v>9</v>
      </c>
      <c r="P734" s="3">
        <v>44806</v>
      </c>
      <c r="Q734">
        <v>35</v>
      </c>
    </row>
    <row r="735" spans="1:17" x14ac:dyDescent="0.3">
      <c r="A735" s="1" t="s">
        <v>1074</v>
      </c>
      <c r="B735" s="2">
        <v>44806.387499999997</v>
      </c>
      <c r="C735" s="1" t="s">
        <v>37</v>
      </c>
      <c r="D735" s="1" t="s">
        <v>47</v>
      </c>
      <c r="E735" s="1" t="s">
        <v>536</v>
      </c>
      <c r="F735" s="1" t="s">
        <v>77</v>
      </c>
      <c r="G735" s="1" t="s">
        <v>77</v>
      </c>
      <c r="H735" s="1" t="s">
        <v>77</v>
      </c>
      <c r="I735" s="1" t="s">
        <v>77</v>
      </c>
      <c r="J735" s="1" t="s">
        <v>77</v>
      </c>
      <c r="K735" s="1" t="s">
        <v>77</v>
      </c>
      <c r="L735">
        <v>20220902091825</v>
      </c>
      <c r="M735" s="1" t="s">
        <v>1077</v>
      </c>
      <c r="N735" s="1" t="s">
        <v>84</v>
      </c>
      <c r="O735">
        <v>9</v>
      </c>
      <c r="P735" s="3">
        <v>44806</v>
      </c>
      <c r="Q735">
        <v>35</v>
      </c>
    </row>
    <row r="736" spans="1:17" x14ac:dyDescent="0.3">
      <c r="A736" s="1" t="s">
        <v>1074</v>
      </c>
      <c r="B736" s="2">
        <v>44806.387499999997</v>
      </c>
      <c r="C736" s="1" t="s">
        <v>37</v>
      </c>
      <c r="D736" s="1" t="s">
        <v>53</v>
      </c>
      <c r="E736" s="1" t="s">
        <v>54</v>
      </c>
      <c r="F736" s="1" t="s">
        <v>77</v>
      </c>
      <c r="G736" s="1" t="s">
        <v>77</v>
      </c>
      <c r="H736" s="1" t="s">
        <v>77</v>
      </c>
      <c r="I736" s="1" t="s">
        <v>77</v>
      </c>
      <c r="J736" s="1" t="s">
        <v>77</v>
      </c>
      <c r="K736" s="1" t="s">
        <v>77</v>
      </c>
      <c r="L736">
        <v>20220902091833</v>
      </c>
      <c r="M736" s="1" t="s">
        <v>1078</v>
      </c>
      <c r="N736" s="1" t="s">
        <v>84</v>
      </c>
      <c r="O736">
        <v>9</v>
      </c>
      <c r="P736" s="3">
        <v>44806</v>
      </c>
      <c r="Q736">
        <v>35</v>
      </c>
    </row>
    <row r="737" spans="1:17" x14ac:dyDescent="0.3">
      <c r="A737" s="1" t="s">
        <v>1074</v>
      </c>
      <c r="B737" s="2">
        <v>44806.387499999997</v>
      </c>
      <c r="C737" s="1" t="s">
        <v>37</v>
      </c>
      <c r="D737" s="1" t="s">
        <v>53</v>
      </c>
      <c r="E737" s="1" t="s">
        <v>56</v>
      </c>
      <c r="F737" s="1" t="s">
        <v>77</v>
      </c>
      <c r="G737" s="1" t="s">
        <v>77</v>
      </c>
      <c r="H737" s="1" t="s">
        <v>77</v>
      </c>
      <c r="I737" s="1" t="s">
        <v>77</v>
      </c>
      <c r="J737" s="1" t="s">
        <v>77</v>
      </c>
      <c r="K737" s="1" t="s">
        <v>77</v>
      </c>
      <c r="L737">
        <v>20220902091841</v>
      </c>
      <c r="M737" s="1" t="s">
        <v>1079</v>
      </c>
      <c r="N737" s="1" t="s">
        <v>84</v>
      </c>
      <c r="O737">
        <v>9</v>
      </c>
      <c r="P737" s="3">
        <v>44806</v>
      </c>
      <c r="Q737">
        <v>35</v>
      </c>
    </row>
    <row r="738" spans="1:17" x14ac:dyDescent="0.3">
      <c r="A738" s="1" t="s">
        <v>1074</v>
      </c>
      <c r="B738" s="2">
        <v>44806.387499999997</v>
      </c>
      <c r="C738" s="1" t="s">
        <v>37</v>
      </c>
      <c r="D738" s="1" t="s">
        <v>19</v>
      </c>
      <c r="E738" s="1" t="s">
        <v>58</v>
      </c>
      <c r="F738" s="1" t="s">
        <v>77</v>
      </c>
      <c r="G738" s="1" t="s">
        <v>77</v>
      </c>
      <c r="H738" s="1" t="s">
        <v>77</v>
      </c>
      <c r="I738" s="1" t="s">
        <v>77</v>
      </c>
      <c r="J738" s="1" t="s">
        <v>77</v>
      </c>
      <c r="K738" s="1" t="s">
        <v>77</v>
      </c>
      <c r="L738">
        <v>20220902091848</v>
      </c>
      <c r="M738" s="1" t="s">
        <v>1080</v>
      </c>
      <c r="N738" s="1" t="s">
        <v>84</v>
      </c>
      <c r="O738">
        <v>9</v>
      </c>
      <c r="P738" s="3">
        <v>44806</v>
      </c>
      <c r="Q738">
        <v>35</v>
      </c>
    </row>
    <row r="739" spans="1:17" x14ac:dyDescent="0.3">
      <c r="A739" s="1" t="s">
        <v>1074</v>
      </c>
      <c r="B739" s="2">
        <v>44806.388194444444</v>
      </c>
      <c r="C739" s="1" t="s">
        <v>37</v>
      </c>
      <c r="D739" s="1" t="s">
        <v>60</v>
      </c>
      <c r="E739" s="1" t="s">
        <v>61</v>
      </c>
      <c r="F739" s="1" t="s">
        <v>77</v>
      </c>
      <c r="G739" s="1" t="s">
        <v>77</v>
      </c>
      <c r="H739" s="1" t="s">
        <v>77</v>
      </c>
      <c r="I739" s="1" t="s">
        <v>77</v>
      </c>
      <c r="J739" s="1" t="s">
        <v>77</v>
      </c>
      <c r="K739" s="1" t="s">
        <v>77</v>
      </c>
      <c r="L739">
        <v>20220902091855</v>
      </c>
      <c r="M739" s="1" t="s">
        <v>1081</v>
      </c>
      <c r="N739" s="1" t="s">
        <v>84</v>
      </c>
      <c r="O739">
        <v>9</v>
      </c>
      <c r="P739" s="3">
        <v>44806</v>
      </c>
      <c r="Q739">
        <v>35</v>
      </c>
    </row>
    <row r="740" spans="1:17" x14ac:dyDescent="0.3">
      <c r="A740" s="1" t="s">
        <v>1082</v>
      </c>
      <c r="B740" s="2">
        <v>44806.388194444444</v>
      </c>
      <c r="C740" s="1" t="s">
        <v>37</v>
      </c>
      <c r="D740" s="1" t="s">
        <v>29</v>
      </c>
      <c r="E740" s="1" t="s">
        <v>30</v>
      </c>
      <c r="F740" s="1" t="s">
        <v>77</v>
      </c>
      <c r="G740" s="1" t="s">
        <v>77</v>
      </c>
      <c r="H740" s="1" t="s">
        <v>77</v>
      </c>
      <c r="I740" s="1" t="s">
        <v>77</v>
      </c>
      <c r="J740" s="1" t="s">
        <v>77</v>
      </c>
      <c r="K740" s="1" t="s">
        <v>77</v>
      </c>
      <c r="L740">
        <v>20220902091903</v>
      </c>
      <c r="M740" s="1" t="s">
        <v>1083</v>
      </c>
      <c r="N740" s="1" t="s">
        <v>84</v>
      </c>
      <c r="O740">
        <v>9</v>
      </c>
      <c r="P740" s="3">
        <v>44806</v>
      </c>
      <c r="Q740">
        <v>35</v>
      </c>
    </row>
    <row r="741" spans="1:17" x14ac:dyDescent="0.3">
      <c r="A741" s="1" t="s">
        <v>1082</v>
      </c>
      <c r="B741" s="2">
        <v>44806.388194444444</v>
      </c>
      <c r="C741" s="1" t="s">
        <v>434</v>
      </c>
      <c r="D741" s="1" t="s">
        <v>47</v>
      </c>
      <c r="E741" s="1" t="s">
        <v>77</v>
      </c>
      <c r="F741" s="1" t="s">
        <v>77</v>
      </c>
      <c r="G741" s="1" t="s">
        <v>77</v>
      </c>
      <c r="H741" s="1" t="s">
        <v>48</v>
      </c>
      <c r="I741" s="1" t="s">
        <v>435</v>
      </c>
      <c r="J741" s="1" t="s">
        <v>77</v>
      </c>
      <c r="K741" s="1" t="s">
        <v>77</v>
      </c>
      <c r="L741">
        <v>20220902091914</v>
      </c>
      <c r="M741" s="1" t="s">
        <v>1084</v>
      </c>
      <c r="N741" s="1" t="s">
        <v>84</v>
      </c>
      <c r="O741">
        <v>9</v>
      </c>
      <c r="P741" s="3">
        <v>44806</v>
      </c>
      <c r="Q741">
        <v>35</v>
      </c>
    </row>
    <row r="742" spans="1:17" x14ac:dyDescent="0.3">
      <c r="A742" s="1" t="s">
        <v>1082</v>
      </c>
      <c r="B742" s="2">
        <v>44806.388194444444</v>
      </c>
      <c r="C742" s="1" t="s">
        <v>37</v>
      </c>
      <c r="D742" s="1" t="s">
        <v>29</v>
      </c>
      <c r="E742" s="1" t="s">
        <v>554</v>
      </c>
      <c r="F742" s="1" t="s">
        <v>77</v>
      </c>
      <c r="G742" s="1" t="s">
        <v>77</v>
      </c>
      <c r="H742" s="1" t="s">
        <v>77</v>
      </c>
      <c r="I742" s="1" t="s">
        <v>77</v>
      </c>
      <c r="J742" s="1" t="s">
        <v>20</v>
      </c>
      <c r="K742" s="1" t="s">
        <v>20</v>
      </c>
      <c r="L742">
        <v>20220902091929</v>
      </c>
      <c r="M742" s="1" t="s">
        <v>1085</v>
      </c>
      <c r="N742" s="1" t="s">
        <v>84</v>
      </c>
      <c r="O742">
        <v>9</v>
      </c>
      <c r="P742" s="3">
        <v>44806</v>
      </c>
      <c r="Q742">
        <v>35</v>
      </c>
    </row>
    <row r="743" spans="1:17" x14ac:dyDescent="0.3">
      <c r="A743" s="1" t="s">
        <v>1086</v>
      </c>
      <c r="B743" s="2">
        <v>44807.538888888892</v>
      </c>
      <c r="C743" s="1" t="s">
        <v>37</v>
      </c>
      <c r="D743" s="1" t="s">
        <v>195</v>
      </c>
      <c r="E743" s="1" t="s">
        <v>21</v>
      </c>
      <c r="F743" s="1" t="s">
        <v>77</v>
      </c>
      <c r="G743" s="1" t="s">
        <v>77</v>
      </c>
      <c r="H743" s="1" t="s">
        <v>77</v>
      </c>
      <c r="I743" s="1" t="s">
        <v>77</v>
      </c>
      <c r="J743" s="1" t="s">
        <v>77</v>
      </c>
      <c r="K743" s="1" t="s">
        <v>77</v>
      </c>
      <c r="L743">
        <v>20220903125608</v>
      </c>
      <c r="M743" s="1" t="s">
        <v>1087</v>
      </c>
      <c r="N743" s="1" t="s">
        <v>101</v>
      </c>
      <c r="O743">
        <v>9</v>
      </c>
      <c r="P743" s="3">
        <v>44807</v>
      </c>
      <c r="Q743">
        <v>35</v>
      </c>
    </row>
    <row r="744" spans="1:17" x14ac:dyDescent="0.3">
      <c r="A744" s="1" t="s">
        <v>1086</v>
      </c>
      <c r="B744" s="2">
        <v>44807.538888888892</v>
      </c>
      <c r="C744" s="1" t="s">
        <v>37</v>
      </c>
      <c r="D744" s="1" t="s">
        <v>38</v>
      </c>
      <c r="E744" s="1" t="s">
        <v>39</v>
      </c>
      <c r="F744" s="1" t="s">
        <v>77</v>
      </c>
      <c r="G744" s="1" t="s">
        <v>77</v>
      </c>
      <c r="H744" s="1" t="s">
        <v>77</v>
      </c>
      <c r="I744" s="1" t="s">
        <v>77</v>
      </c>
      <c r="J744" s="1" t="s">
        <v>77</v>
      </c>
      <c r="K744" s="1" t="s">
        <v>77</v>
      </c>
      <c r="L744">
        <v>20220903125621</v>
      </c>
      <c r="M744" s="1" t="s">
        <v>1088</v>
      </c>
      <c r="N744" s="1" t="s">
        <v>101</v>
      </c>
      <c r="O744">
        <v>9</v>
      </c>
      <c r="P744" s="3">
        <v>44807</v>
      </c>
      <c r="Q744">
        <v>35</v>
      </c>
    </row>
    <row r="745" spans="1:17" x14ac:dyDescent="0.3">
      <c r="A745" s="1" t="s">
        <v>1086</v>
      </c>
      <c r="B745" s="2">
        <v>44807.538888888892</v>
      </c>
      <c r="C745" s="1" t="s">
        <v>37</v>
      </c>
      <c r="D745" s="1" t="s">
        <v>44</v>
      </c>
      <c r="E745" s="1" t="s">
        <v>45</v>
      </c>
      <c r="F745" s="1" t="s">
        <v>77</v>
      </c>
      <c r="G745" s="1" t="s">
        <v>77</v>
      </c>
      <c r="H745" s="1" t="s">
        <v>77</v>
      </c>
      <c r="I745" s="1" t="s">
        <v>77</v>
      </c>
      <c r="J745" s="1" t="s">
        <v>77</v>
      </c>
      <c r="K745" s="1" t="s">
        <v>77</v>
      </c>
      <c r="L745">
        <v>20220903125635</v>
      </c>
      <c r="M745" s="1" t="s">
        <v>1089</v>
      </c>
      <c r="N745" s="1" t="s">
        <v>101</v>
      </c>
      <c r="O745">
        <v>9</v>
      </c>
      <c r="P745" s="3">
        <v>44807</v>
      </c>
      <c r="Q745">
        <v>35</v>
      </c>
    </row>
    <row r="746" spans="1:17" x14ac:dyDescent="0.3">
      <c r="A746" s="1" t="s">
        <v>1086</v>
      </c>
      <c r="B746" s="2">
        <v>44807.538888888892</v>
      </c>
      <c r="C746" s="1" t="s">
        <v>37</v>
      </c>
      <c r="D746" s="1" t="s">
        <v>47</v>
      </c>
      <c r="E746" s="1" t="s">
        <v>51</v>
      </c>
      <c r="F746" s="1" t="s">
        <v>77</v>
      </c>
      <c r="G746" s="1" t="s">
        <v>77</v>
      </c>
      <c r="H746" s="1" t="s">
        <v>77</v>
      </c>
      <c r="I746" s="1" t="s">
        <v>77</v>
      </c>
      <c r="J746" s="1" t="s">
        <v>77</v>
      </c>
      <c r="K746" s="1" t="s">
        <v>77</v>
      </c>
      <c r="L746">
        <v>20220903125644</v>
      </c>
      <c r="M746" s="1" t="s">
        <v>1090</v>
      </c>
      <c r="N746" s="1" t="s">
        <v>101</v>
      </c>
      <c r="O746">
        <v>9</v>
      </c>
      <c r="P746" s="3">
        <v>44807</v>
      </c>
      <c r="Q746">
        <v>35</v>
      </c>
    </row>
    <row r="747" spans="1:17" x14ac:dyDescent="0.3">
      <c r="A747" s="1" t="s">
        <v>1086</v>
      </c>
      <c r="B747" s="2">
        <v>44807.539583333331</v>
      </c>
      <c r="C747" s="1" t="s">
        <v>37</v>
      </c>
      <c r="D747" s="1" t="s">
        <v>53</v>
      </c>
      <c r="E747" s="1" t="s">
        <v>56</v>
      </c>
      <c r="F747" s="1" t="s">
        <v>77</v>
      </c>
      <c r="G747" s="1" t="s">
        <v>77</v>
      </c>
      <c r="H747" s="1" t="s">
        <v>77</v>
      </c>
      <c r="I747" s="1" t="s">
        <v>77</v>
      </c>
      <c r="J747" s="1" t="s">
        <v>77</v>
      </c>
      <c r="K747" s="1" t="s">
        <v>77</v>
      </c>
      <c r="L747">
        <v>20220903125653</v>
      </c>
      <c r="M747" s="1" t="s">
        <v>1091</v>
      </c>
      <c r="N747" s="1" t="s">
        <v>101</v>
      </c>
      <c r="O747">
        <v>9</v>
      </c>
      <c r="P747" s="3">
        <v>44807</v>
      </c>
      <c r="Q747">
        <v>35</v>
      </c>
    </row>
    <row r="748" spans="1:17" x14ac:dyDescent="0.3">
      <c r="A748" s="1" t="s">
        <v>1092</v>
      </c>
      <c r="B748" s="2">
        <v>44807.539583333331</v>
      </c>
      <c r="C748" s="1" t="s">
        <v>37</v>
      </c>
      <c r="D748" s="1" t="s">
        <v>60</v>
      </c>
      <c r="E748" s="1" t="s">
        <v>61</v>
      </c>
      <c r="F748" s="1" t="s">
        <v>77</v>
      </c>
      <c r="G748" s="1" t="s">
        <v>77</v>
      </c>
      <c r="H748" s="1" t="s">
        <v>77</v>
      </c>
      <c r="I748" s="1" t="s">
        <v>77</v>
      </c>
      <c r="J748" s="1" t="s">
        <v>77</v>
      </c>
      <c r="K748" s="1" t="s">
        <v>77</v>
      </c>
      <c r="L748">
        <v>20220903125710</v>
      </c>
      <c r="M748" s="1" t="s">
        <v>1093</v>
      </c>
      <c r="N748" s="1" t="s">
        <v>101</v>
      </c>
      <c r="O748">
        <v>9</v>
      </c>
      <c r="P748" s="3">
        <v>44807</v>
      </c>
      <c r="Q748">
        <v>35</v>
      </c>
    </row>
    <row r="749" spans="1:17" x14ac:dyDescent="0.3">
      <c r="A749" s="1" t="s">
        <v>1092</v>
      </c>
      <c r="B749" s="2">
        <v>44807.539583333331</v>
      </c>
      <c r="C749" s="1" t="s">
        <v>434</v>
      </c>
      <c r="D749" s="1" t="s">
        <v>47</v>
      </c>
      <c r="E749" s="1" t="s">
        <v>77</v>
      </c>
      <c r="F749" s="1" t="s">
        <v>77</v>
      </c>
      <c r="G749" s="1" t="s">
        <v>77</v>
      </c>
      <c r="H749" s="1" t="s">
        <v>48</v>
      </c>
      <c r="I749" s="1" t="s">
        <v>435</v>
      </c>
      <c r="J749" s="1" t="s">
        <v>77</v>
      </c>
      <c r="K749" s="1" t="s">
        <v>77</v>
      </c>
      <c r="L749">
        <v>20220903125722</v>
      </c>
      <c r="M749" s="1" t="s">
        <v>1094</v>
      </c>
      <c r="N749" s="1" t="s">
        <v>101</v>
      </c>
      <c r="O749">
        <v>9</v>
      </c>
      <c r="P749" s="3">
        <v>44807</v>
      </c>
      <c r="Q749">
        <v>35</v>
      </c>
    </row>
    <row r="750" spans="1:17" x14ac:dyDescent="0.3">
      <c r="A750" s="1" t="s">
        <v>1092</v>
      </c>
      <c r="B750" s="2">
        <v>44807.539583333331</v>
      </c>
      <c r="C750" s="1" t="s">
        <v>37</v>
      </c>
      <c r="D750" s="1" t="s">
        <v>26</v>
      </c>
      <c r="E750" s="1" t="s">
        <v>27</v>
      </c>
      <c r="F750" s="1" t="s">
        <v>77</v>
      </c>
      <c r="G750" s="1" t="s">
        <v>77</v>
      </c>
      <c r="H750" s="1" t="s">
        <v>77</v>
      </c>
      <c r="I750" s="1" t="s">
        <v>77</v>
      </c>
      <c r="J750" s="1" t="s">
        <v>77</v>
      </c>
      <c r="K750" s="1" t="s">
        <v>77</v>
      </c>
      <c r="L750">
        <v>20220903125739</v>
      </c>
      <c r="M750" s="1" t="s">
        <v>1095</v>
      </c>
      <c r="N750" s="1" t="s">
        <v>101</v>
      </c>
      <c r="O750">
        <v>9</v>
      </c>
      <c r="P750" s="3">
        <v>44807</v>
      </c>
      <c r="Q750">
        <v>35</v>
      </c>
    </row>
    <row r="751" spans="1:17" x14ac:dyDescent="0.3">
      <c r="A751" s="1" t="s">
        <v>1092</v>
      </c>
      <c r="B751" s="2">
        <v>44807.540277777778</v>
      </c>
      <c r="C751" s="1" t="s">
        <v>18</v>
      </c>
      <c r="D751" s="1" t="s">
        <v>47</v>
      </c>
      <c r="E751" s="1" t="s">
        <v>77</v>
      </c>
      <c r="F751" s="1" t="s">
        <v>77</v>
      </c>
      <c r="G751" s="1" t="s">
        <v>77</v>
      </c>
      <c r="H751" s="1" t="s">
        <v>77</v>
      </c>
      <c r="I751" s="1" t="s">
        <v>77</v>
      </c>
      <c r="J751" s="1" t="s">
        <v>536</v>
      </c>
      <c r="K751" s="1" t="s">
        <v>1096</v>
      </c>
      <c r="L751">
        <v>20220903125747</v>
      </c>
      <c r="M751" s="1" t="s">
        <v>1097</v>
      </c>
      <c r="N751" s="1" t="s">
        <v>101</v>
      </c>
      <c r="O751">
        <v>9</v>
      </c>
      <c r="P751" s="3">
        <v>44807</v>
      </c>
      <c r="Q751">
        <v>35</v>
      </c>
    </row>
    <row r="752" spans="1:17" x14ac:dyDescent="0.3">
      <c r="A752" s="1" t="s">
        <v>1098</v>
      </c>
      <c r="B752" s="2">
        <v>44807.540277777778</v>
      </c>
      <c r="C752" s="1" t="s">
        <v>18</v>
      </c>
      <c r="D752" s="1" t="s">
        <v>53</v>
      </c>
      <c r="E752" s="1" t="s">
        <v>77</v>
      </c>
      <c r="F752" s="1" t="s">
        <v>77</v>
      </c>
      <c r="G752" s="1" t="s">
        <v>77</v>
      </c>
      <c r="H752" s="1" t="s">
        <v>77</v>
      </c>
      <c r="I752" s="1" t="s">
        <v>77</v>
      </c>
      <c r="J752" s="1" t="s">
        <v>54</v>
      </c>
      <c r="K752" s="1" t="s">
        <v>331</v>
      </c>
      <c r="L752">
        <v>20220903125822</v>
      </c>
      <c r="M752" s="1" t="s">
        <v>1099</v>
      </c>
      <c r="N752" s="1" t="s">
        <v>101</v>
      </c>
      <c r="O752">
        <v>9</v>
      </c>
      <c r="P752" s="3">
        <v>44807</v>
      </c>
      <c r="Q752">
        <v>35</v>
      </c>
    </row>
    <row r="753" spans="1:17" x14ac:dyDescent="0.3">
      <c r="A753" s="1" t="s">
        <v>1098</v>
      </c>
      <c r="B753" s="2">
        <v>44807.540277777778</v>
      </c>
      <c r="C753" s="1" t="s">
        <v>18</v>
      </c>
      <c r="D753" s="1" t="s">
        <v>19</v>
      </c>
      <c r="E753" s="1" t="s">
        <v>77</v>
      </c>
      <c r="F753" s="1" t="s">
        <v>77</v>
      </c>
      <c r="G753" s="1" t="s">
        <v>77</v>
      </c>
      <c r="H753" s="1" t="s">
        <v>77</v>
      </c>
      <c r="I753" s="1" t="s">
        <v>77</v>
      </c>
      <c r="J753" s="1" t="s">
        <v>58</v>
      </c>
      <c r="K753" s="1" t="s">
        <v>331</v>
      </c>
      <c r="L753">
        <v>20220903125834</v>
      </c>
      <c r="M753" s="1" t="s">
        <v>1100</v>
      </c>
      <c r="N753" s="1" t="s">
        <v>101</v>
      </c>
      <c r="O753">
        <v>9</v>
      </c>
      <c r="P753" s="3">
        <v>44807</v>
      </c>
      <c r="Q753">
        <v>35</v>
      </c>
    </row>
    <row r="754" spans="1:17" x14ac:dyDescent="0.3">
      <c r="A754" s="1" t="s">
        <v>1098</v>
      </c>
      <c r="B754" s="2">
        <v>44807.540277777778</v>
      </c>
      <c r="C754" s="1" t="s">
        <v>18</v>
      </c>
      <c r="D754" s="1" t="s">
        <v>29</v>
      </c>
      <c r="E754" s="1" t="s">
        <v>77</v>
      </c>
      <c r="F754" s="1" t="s">
        <v>77</v>
      </c>
      <c r="G754" s="1" t="s">
        <v>77</v>
      </c>
      <c r="H754" s="1" t="s">
        <v>77</v>
      </c>
      <c r="I754" s="1" t="s">
        <v>77</v>
      </c>
      <c r="J754" s="1" t="s">
        <v>30</v>
      </c>
      <c r="K754" s="1" t="s">
        <v>523</v>
      </c>
      <c r="L754">
        <v>20220903125847</v>
      </c>
      <c r="M754" s="1" t="s">
        <v>1101</v>
      </c>
      <c r="N754" s="1" t="s">
        <v>101</v>
      </c>
      <c r="O754">
        <v>9</v>
      </c>
      <c r="P754" s="3">
        <v>44807</v>
      </c>
      <c r="Q754">
        <v>35</v>
      </c>
    </row>
    <row r="755" spans="1:17" x14ac:dyDescent="0.3">
      <c r="A755" s="1" t="s">
        <v>1086</v>
      </c>
      <c r="B755" s="2">
        <v>44807.538888888892</v>
      </c>
      <c r="C755" s="1" t="s">
        <v>37</v>
      </c>
      <c r="D755" s="1" t="s">
        <v>41</v>
      </c>
      <c r="E755" s="1" t="s">
        <v>42</v>
      </c>
      <c r="F755" s="1" t="s">
        <v>77</v>
      </c>
      <c r="G755" s="1" t="s">
        <v>77</v>
      </c>
      <c r="H755" s="1" t="s">
        <v>77</v>
      </c>
      <c r="I755" s="1" t="s">
        <v>77</v>
      </c>
      <c r="J755" s="1" t="s">
        <v>77</v>
      </c>
      <c r="K755" s="1" t="s">
        <v>77</v>
      </c>
      <c r="L755">
        <v>20220903125629</v>
      </c>
      <c r="M755" s="1" t="s">
        <v>1102</v>
      </c>
      <c r="N755" s="1" t="s">
        <v>101</v>
      </c>
      <c r="O755">
        <v>9</v>
      </c>
      <c r="P755" s="3">
        <v>44807</v>
      </c>
      <c r="Q755">
        <v>35</v>
      </c>
    </row>
    <row r="756" spans="1:17" x14ac:dyDescent="0.3">
      <c r="A756" s="1" t="s">
        <v>1098</v>
      </c>
      <c r="B756" s="2">
        <v>44807.540277777778</v>
      </c>
      <c r="C756" s="1" t="s">
        <v>18</v>
      </c>
      <c r="D756" s="1" t="s">
        <v>29</v>
      </c>
      <c r="E756" s="1" t="s">
        <v>77</v>
      </c>
      <c r="F756" s="1" t="s">
        <v>77</v>
      </c>
      <c r="G756" s="1" t="s">
        <v>77</v>
      </c>
      <c r="H756" s="1" t="s">
        <v>77</v>
      </c>
      <c r="I756" s="1" t="s">
        <v>77</v>
      </c>
      <c r="J756" s="1" t="s">
        <v>30</v>
      </c>
      <c r="K756" s="1" t="s">
        <v>523</v>
      </c>
      <c r="L756">
        <v>20220903125847</v>
      </c>
      <c r="M756" s="1" t="s">
        <v>1101</v>
      </c>
      <c r="N756" s="1" t="s">
        <v>101</v>
      </c>
      <c r="O756">
        <v>9</v>
      </c>
      <c r="P756" s="3">
        <v>44807</v>
      </c>
      <c r="Q756">
        <v>35</v>
      </c>
    </row>
    <row r="757" spans="1:17" x14ac:dyDescent="0.3">
      <c r="A757" s="1" t="s">
        <v>1098</v>
      </c>
      <c r="B757" s="2">
        <v>44807.540972222225</v>
      </c>
      <c r="C757" s="1" t="s">
        <v>18</v>
      </c>
      <c r="D757" s="1" t="s">
        <v>29</v>
      </c>
      <c r="E757" s="1" t="s">
        <v>77</v>
      </c>
      <c r="F757" s="1" t="s">
        <v>77</v>
      </c>
      <c r="G757" s="1" t="s">
        <v>77</v>
      </c>
      <c r="H757" s="1" t="s">
        <v>77</v>
      </c>
      <c r="I757" s="1" t="s">
        <v>77</v>
      </c>
      <c r="J757" s="1" t="s">
        <v>554</v>
      </c>
      <c r="K757" s="1" t="s">
        <v>523</v>
      </c>
      <c r="L757">
        <v>20220903125859</v>
      </c>
      <c r="M757" s="1" t="s">
        <v>1103</v>
      </c>
      <c r="N757" s="1" t="s">
        <v>101</v>
      </c>
      <c r="O757">
        <v>9</v>
      </c>
      <c r="P757" s="3">
        <v>44807</v>
      </c>
      <c r="Q757">
        <v>35</v>
      </c>
    </row>
    <row r="758" spans="1:17" x14ac:dyDescent="0.3">
      <c r="A758" s="1" t="s">
        <v>1104</v>
      </c>
      <c r="B758" s="2">
        <v>44809.334722222222</v>
      </c>
      <c r="C758" s="1" t="s">
        <v>37</v>
      </c>
      <c r="D758" s="1" t="s">
        <v>26</v>
      </c>
      <c r="E758" s="1" t="s">
        <v>27</v>
      </c>
      <c r="F758" s="1" t="s">
        <v>77</v>
      </c>
      <c r="G758" s="1" t="s">
        <v>77</v>
      </c>
      <c r="H758" s="1" t="s">
        <v>77</v>
      </c>
      <c r="I758" s="1" t="s">
        <v>77</v>
      </c>
      <c r="J758" s="1" t="s">
        <v>77</v>
      </c>
      <c r="K758" s="1" t="s">
        <v>77</v>
      </c>
      <c r="L758">
        <v>20220905080228</v>
      </c>
      <c r="M758" s="1" t="s">
        <v>1105</v>
      </c>
      <c r="N758" s="1" t="s">
        <v>120</v>
      </c>
      <c r="O758">
        <v>9</v>
      </c>
      <c r="P758" s="3">
        <v>44809</v>
      </c>
      <c r="Q758">
        <v>36</v>
      </c>
    </row>
    <row r="759" spans="1:17" x14ac:dyDescent="0.3">
      <c r="A759" s="1" t="s">
        <v>1104</v>
      </c>
      <c r="B759" s="2">
        <v>44809.334722222222</v>
      </c>
      <c r="C759" s="1" t="s">
        <v>37</v>
      </c>
      <c r="D759" s="1" t="s">
        <v>195</v>
      </c>
      <c r="E759" s="1" t="s">
        <v>21</v>
      </c>
      <c r="F759" s="1" t="s">
        <v>77</v>
      </c>
      <c r="G759" s="1" t="s">
        <v>77</v>
      </c>
      <c r="H759" s="1" t="s">
        <v>77</v>
      </c>
      <c r="I759" s="1" t="s">
        <v>77</v>
      </c>
      <c r="J759" s="1" t="s">
        <v>77</v>
      </c>
      <c r="K759" s="1" t="s">
        <v>77</v>
      </c>
      <c r="L759">
        <v>20220905080236</v>
      </c>
      <c r="M759" s="1" t="s">
        <v>1106</v>
      </c>
      <c r="N759" s="1" t="s">
        <v>120</v>
      </c>
      <c r="O759">
        <v>9</v>
      </c>
      <c r="P759" s="3">
        <v>44809</v>
      </c>
      <c r="Q759">
        <v>36</v>
      </c>
    </row>
    <row r="760" spans="1:17" x14ac:dyDescent="0.3">
      <c r="A760" s="1" t="s">
        <v>1104</v>
      </c>
      <c r="B760" s="2">
        <v>44809.334722222222</v>
      </c>
      <c r="C760" s="1" t="s">
        <v>37</v>
      </c>
      <c r="D760" s="1" t="s">
        <v>38</v>
      </c>
      <c r="E760" s="1" t="s">
        <v>39</v>
      </c>
      <c r="F760" s="1" t="s">
        <v>77</v>
      </c>
      <c r="G760" s="1" t="s">
        <v>77</v>
      </c>
      <c r="H760" s="1" t="s">
        <v>77</v>
      </c>
      <c r="I760" s="1" t="s">
        <v>77</v>
      </c>
      <c r="J760" s="1" t="s">
        <v>77</v>
      </c>
      <c r="K760" s="1" t="s">
        <v>77</v>
      </c>
      <c r="L760">
        <v>20220905080246</v>
      </c>
      <c r="M760" s="1" t="s">
        <v>1107</v>
      </c>
      <c r="N760" s="1" t="s">
        <v>120</v>
      </c>
      <c r="O760">
        <v>9</v>
      </c>
      <c r="P760" s="3">
        <v>44809</v>
      </c>
      <c r="Q760">
        <v>36</v>
      </c>
    </row>
    <row r="761" spans="1:17" x14ac:dyDescent="0.3">
      <c r="A761" s="1" t="s">
        <v>1104</v>
      </c>
      <c r="B761" s="2">
        <v>44809.334722222222</v>
      </c>
      <c r="C761" s="1" t="s">
        <v>37</v>
      </c>
      <c r="D761" s="1" t="s">
        <v>41</v>
      </c>
      <c r="E761" s="1" t="s">
        <v>42</v>
      </c>
      <c r="F761" s="1" t="s">
        <v>77</v>
      </c>
      <c r="G761" s="1" t="s">
        <v>77</v>
      </c>
      <c r="H761" s="1" t="s">
        <v>77</v>
      </c>
      <c r="I761" s="1" t="s">
        <v>77</v>
      </c>
      <c r="J761" s="1" t="s">
        <v>77</v>
      </c>
      <c r="K761" s="1" t="s">
        <v>77</v>
      </c>
      <c r="L761">
        <v>20220905080253</v>
      </c>
      <c r="M761" s="1" t="s">
        <v>1108</v>
      </c>
      <c r="N761" s="1" t="s">
        <v>120</v>
      </c>
      <c r="O761">
        <v>9</v>
      </c>
      <c r="P761" s="3">
        <v>44809</v>
      </c>
      <c r="Q761">
        <v>36</v>
      </c>
    </row>
    <row r="762" spans="1:17" x14ac:dyDescent="0.3">
      <c r="A762" s="1" t="s">
        <v>1109</v>
      </c>
      <c r="B762" s="2">
        <v>44809.335416666669</v>
      </c>
      <c r="C762" s="1" t="s">
        <v>37</v>
      </c>
      <c r="D762" s="1" t="s">
        <v>44</v>
      </c>
      <c r="E762" s="1" t="s">
        <v>45</v>
      </c>
      <c r="F762" s="1" t="s">
        <v>77</v>
      </c>
      <c r="G762" s="1" t="s">
        <v>77</v>
      </c>
      <c r="H762" s="1" t="s">
        <v>77</v>
      </c>
      <c r="I762" s="1" t="s">
        <v>77</v>
      </c>
      <c r="J762" s="1" t="s">
        <v>77</v>
      </c>
      <c r="K762" s="1" t="s">
        <v>77</v>
      </c>
      <c r="L762">
        <v>20220905080303</v>
      </c>
      <c r="M762" s="1" t="s">
        <v>1110</v>
      </c>
      <c r="N762" s="1" t="s">
        <v>120</v>
      </c>
      <c r="O762">
        <v>9</v>
      </c>
      <c r="P762" s="3">
        <v>44809</v>
      </c>
      <c r="Q762">
        <v>36</v>
      </c>
    </row>
    <row r="763" spans="1:17" x14ac:dyDescent="0.3">
      <c r="A763" s="1" t="s">
        <v>1109</v>
      </c>
      <c r="B763" s="2">
        <v>44809.335416666669</v>
      </c>
      <c r="C763" s="1" t="s">
        <v>37</v>
      </c>
      <c r="D763" s="1" t="s">
        <v>47</v>
      </c>
      <c r="E763" s="1" t="s">
        <v>48</v>
      </c>
      <c r="F763" s="1" t="s">
        <v>77</v>
      </c>
      <c r="G763" s="1" t="s">
        <v>77</v>
      </c>
      <c r="H763" s="1" t="s">
        <v>77</v>
      </c>
      <c r="I763" s="1" t="s">
        <v>77</v>
      </c>
      <c r="J763" s="1" t="s">
        <v>77</v>
      </c>
      <c r="K763" s="1" t="s">
        <v>77</v>
      </c>
      <c r="L763">
        <v>20220905080311</v>
      </c>
      <c r="M763" s="1" t="s">
        <v>1111</v>
      </c>
      <c r="N763" s="1" t="s">
        <v>120</v>
      </c>
      <c r="O763">
        <v>9</v>
      </c>
      <c r="P763" s="3">
        <v>44809</v>
      </c>
      <c r="Q763">
        <v>36</v>
      </c>
    </row>
    <row r="764" spans="1:17" x14ac:dyDescent="0.3">
      <c r="A764" s="1" t="s">
        <v>1109</v>
      </c>
      <c r="B764" s="2">
        <v>44809.335416666669</v>
      </c>
      <c r="C764" s="1" t="s">
        <v>37</v>
      </c>
      <c r="D764" s="1" t="s">
        <v>47</v>
      </c>
      <c r="E764" s="1" t="s">
        <v>51</v>
      </c>
      <c r="F764" s="1" t="s">
        <v>77</v>
      </c>
      <c r="G764" s="1" t="s">
        <v>77</v>
      </c>
      <c r="H764" s="1" t="s">
        <v>77</v>
      </c>
      <c r="I764" s="1" t="s">
        <v>77</v>
      </c>
      <c r="J764" s="1" t="s">
        <v>77</v>
      </c>
      <c r="K764" s="1" t="s">
        <v>77</v>
      </c>
      <c r="L764">
        <v>20220905080319</v>
      </c>
      <c r="M764" s="1" t="s">
        <v>1112</v>
      </c>
      <c r="N764" s="1" t="s">
        <v>120</v>
      </c>
      <c r="O764">
        <v>9</v>
      </c>
      <c r="P764" s="3">
        <v>44809</v>
      </c>
      <c r="Q764">
        <v>36</v>
      </c>
    </row>
    <row r="765" spans="1:17" x14ac:dyDescent="0.3">
      <c r="A765" s="1" t="s">
        <v>1109</v>
      </c>
      <c r="B765" s="2">
        <v>44809.335416666669</v>
      </c>
      <c r="C765" s="1" t="s">
        <v>37</v>
      </c>
      <c r="D765" s="1" t="s">
        <v>47</v>
      </c>
      <c r="E765" s="1" t="s">
        <v>536</v>
      </c>
      <c r="F765" s="1" t="s">
        <v>77</v>
      </c>
      <c r="G765" s="1" t="s">
        <v>77</v>
      </c>
      <c r="H765" s="1" t="s">
        <v>77</v>
      </c>
      <c r="I765" s="1" t="s">
        <v>77</v>
      </c>
      <c r="J765" s="1" t="s">
        <v>77</v>
      </c>
      <c r="K765" s="1" t="s">
        <v>77</v>
      </c>
      <c r="L765">
        <v>20220905080338</v>
      </c>
      <c r="M765" s="1" t="s">
        <v>1113</v>
      </c>
      <c r="N765" s="1" t="s">
        <v>120</v>
      </c>
      <c r="O765">
        <v>9</v>
      </c>
      <c r="P765" s="3">
        <v>44809</v>
      </c>
      <c r="Q765">
        <v>36</v>
      </c>
    </row>
    <row r="766" spans="1:17" x14ac:dyDescent="0.3">
      <c r="A766" s="1" t="s">
        <v>1109</v>
      </c>
      <c r="B766" s="2">
        <v>44809.335416666669</v>
      </c>
      <c r="C766" s="1" t="s">
        <v>37</v>
      </c>
      <c r="D766" s="1" t="s">
        <v>53</v>
      </c>
      <c r="E766" s="1" t="s">
        <v>54</v>
      </c>
      <c r="F766" s="1" t="s">
        <v>77</v>
      </c>
      <c r="G766" s="1" t="s">
        <v>77</v>
      </c>
      <c r="H766" s="1" t="s">
        <v>77</v>
      </c>
      <c r="I766" s="1" t="s">
        <v>77</v>
      </c>
      <c r="J766" s="1" t="s">
        <v>77</v>
      </c>
      <c r="K766" s="1" t="s">
        <v>77</v>
      </c>
      <c r="L766">
        <v>20220905080345</v>
      </c>
      <c r="M766" s="1" t="s">
        <v>1114</v>
      </c>
      <c r="N766" s="1" t="s">
        <v>120</v>
      </c>
      <c r="O766">
        <v>9</v>
      </c>
      <c r="P766" s="3">
        <v>44809</v>
      </c>
      <c r="Q766">
        <v>36</v>
      </c>
    </row>
    <row r="767" spans="1:17" x14ac:dyDescent="0.3">
      <c r="A767" s="1" t="s">
        <v>1109</v>
      </c>
      <c r="B767" s="2">
        <v>44809.335416666669</v>
      </c>
      <c r="C767" s="1" t="s">
        <v>37</v>
      </c>
      <c r="D767" s="1" t="s">
        <v>53</v>
      </c>
      <c r="E767" s="1" t="s">
        <v>56</v>
      </c>
      <c r="F767" s="1" t="s">
        <v>77</v>
      </c>
      <c r="G767" s="1" t="s">
        <v>77</v>
      </c>
      <c r="H767" s="1" t="s">
        <v>77</v>
      </c>
      <c r="I767" s="1" t="s">
        <v>77</v>
      </c>
      <c r="J767" s="1" t="s">
        <v>77</v>
      </c>
      <c r="K767" s="1" t="s">
        <v>77</v>
      </c>
      <c r="L767">
        <v>20220905080354</v>
      </c>
      <c r="M767" s="1" t="s">
        <v>1115</v>
      </c>
      <c r="N767" s="1" t="s">
        <v>120</v>
      </c>
      <c r="O767">
        <v>9</v>
      </c>
      <c r="P767" s="3">
        <v>44809</v>
      </c>
      <c r="Q767">
        <v>36</v>
      </c>
    </row>
    <row r="768" spans="1:17" x14ac:dyDescent="0.3">
      <c r="A768" s="1" t="s">
        <v>1116</v>
      </c>
      <c r="B768" s="2">
        <v>44809.336111111108</v>
      </c>
      <c r="C768" s="1" t="s">
        <v>37</v>
      </c>
      <c r="D768" s="1" t="s">
        <v>19</v>
      </c>
      <c r="E768" s="1" t="s">
        <v>58</v>
      </c>
      <c r="F768" s="1" t="s">
        <v>77</v>
      </c>
      <c r="G768" s="1" t="s">
        <v>77</v>
      </c>
      <c r="H768" s="1" t="s">
        <v>77</v>
      </c>
      <c r="I768" s="1" t="s">
        <v>77</v>
      </c>
      <c r="J768" s="1" t="s">
        <v>77</v>
      </c>
      <c r="K768" s="1" t="s">
        <v>77</v>
      </c>
      <c r="L768">
        <v>20220905080401</v>
      </c>
      <c r="M768" s="1" t="s">
        <v>1117</v>
      </c>
      <c r="N768" s="1" t="s">
        <v>120</v>
      </c>
      <c r="O768">
        <v>9</v>
      </c>
      <c r="P768" s="3">
        <v>44809</v>
      </c>
      <c r="Q768">
        <v>36</v>
      </c>
    </row>
    <row r="769" spans="1:17" x14ac:dyDescent="0.3">
      <c r="A769" s="1" t="s">
        <v>1116</v>
      </c>
      <c r="B769" s="2">
        <v>44809.336111111108</v>
      </c>
      <c r="C769" s="1" t="s">
        <v>37</v>
      </c>
      <c r="D769" s="1" t="s">
        <v>60</v>
      </c>
      <c r="E769" s="1" t="s">
        <v>61</v>
      </c>
      <c r="F769" s="1" t="s">
        <v>77</v>
      </c>
      <c r="G769" s="1" t="s">
        <v>77</v>
      </c>
      <c r="H769" s="1" t="s">
        <v>77</v>
      </c>
      <c r="I769" s="1" t="s">
        <v>77</v>
      </c>
      <c r="J769" s="1" t="s">
        <v>77</v>
      </c>
      <c r="K769" s="1" t="s">
        <v>77</v>
      </c>
      <c r="L769">
        <v>20220905080408</v>
      </c>
      <c r="M769" s="1" t="s">
        <v>1118</v>
      </c>
      <c r="N769" s="1" t="s">
        <v>120</v>
      </c>
      <c r="O769">
        <v>9</v>
      </c>
      <c r="P769" s="3">
        <v>44809</v>
      </c>
      <c r="Q769">
        <v>36</v>
      </c>
    </row>
    <row r="770" spans="1:17" x14ac:dyDescent="0.3">
      <c r="A770" s="1" t="s">
        <v>1116</v>
      </c>
      <c r="B770" s="2">
        <v>44809.336111111108</v>
      </c>
      <c r="C770" s="1" t="s">
        <v>18</v>
      </c>
      <c r="D770" s="1" t="s">
        <v>29</v>
      </c>
      <c r="E770" s="1" t="s">
        <v>20</v>
      </c>
      <c r="F770" s="1" t="s">
        <v>77</v>
      </c>
      <c r="G770" s="1" t="s">
        <v>77</v>
      </c>
      <c r="H770" s="1" t="s">
        <v>77</v>
      </c>
      <c r="I770" s="1" t="s">
        <v>77</v>
      </c>
      <c r="J770" s="1" t="s">
        <v>30</v>
      </c>
      <c r="K770" s="1" t="s">
        <v>603</v>
      </c>
      <c r="L770">
        <v>20220905080417</v>
      </c>
      <c r="M770" s="1" t="s">
        <v>1119</v>
      </c>
      <c r="N770" s="1" t="s">
        <v>120</v>
      </c>
      <c r="O770">
        <v>9</v>
      </c>
      <c r="P770" s="3">
        <v>44809</v>
      </c>
      <c r="Q770">
        <v>36</v>
      </c>
    </row>
    <row r="771" spans="1:17" x14ac:dyDescent="0.3">
      <c r="A771" s="1" t="s">
        <v>1116</v>
      </c>
      <c r="B771" s="2">
        <v>44809.336111111108</v>
      </c>
      <c r="C771" s="1" t="s">
        <v>37</v>
      </c>
      <c r="D771" s="1" t="s">
        <v>29</v>
      </c>
      <c r="E771" s="1" t="s">
        <v>554</v>
      </c>
      <c r="F771" s="1" t="s">
        <v>77</v>
      </c>
      <c r="G771" s="1" t="s">
        <v>77</v>
      </c>
      <c r="H771" s="1" t="s">
        <v>77</v>
      </c>
      <c r="I771" s="1" t="s">
        <v>77</v>
      </c>
      <c r="J771" s="1" t="s">
        <v>77</v>
      </c>
      <c r="K771" s="1" t="s">
        <v>77</v>
      </c>
      <c r="L771">
        <v>20220905080425</v>
      </c>
      <c r="M771" s="1" t="s">
        <v>1120</v>
      </c>
      <c r="N771" s="1" t="s">
        <v>120</v>
      </c>
      <c r="O771">
        <v>9</v>
      </c>
      <c r="P771" s="3">
        <v>44809</v>
      </c>
      <c r="Q771">
        <v>36</v>
      </c>
    </row>
    <row r="772" spans="1:17" x14ac:dyDescent="0.3">
      <c r="A772" s="1" t="s">
        <v>1121</v>
      </c>
      <c r="B772" s="2">
        <v>44810.345833333333</v>
      </c>
      <c r="C772" s="1" t="s">
        <v>37</v>
      </c>
      <c r="D772" s="1" t="s">
        <v>26</v>
      </c>
      <c r="E772" s="1" t="s">
        <v>27</v>
      </c>
      <c r="F772" s="1" t="s">
        <v>77</v>
      </c>
      <c r="G772" s="1" t="s">
        <v>77</v>
      </c>
      <c r="H772" s="1" t="s">
        <v>77</v>
      </c>
      <c r="I772" s="1" t="s">
        <v>77</v>
      </c>
      <c r="J772" s="1" t="s">
        <v>77</v>
      </c>
      <c r="K772" s="1" t="s">
        <v>77</v>
      </c>
      <c r="L772">
        <v>20220906081844</v>
      </c>
      <c r="M772" s="1" t="s">
        <v>1122</v>
      </c>
      <c r="N772" s="1" t="s">
        <v>140</v>
      </c>
      <c r="O772">
        <v>9</v>
      </c>
      <c r="P772" s="3">
        <v>44810</v>
      </c>
      <c r="Q772">
        <v>36</v>
      </c>
    </row>
    <row r="773" spans="1:17" x14ac:dyDescent="0.3">
      <c r="A773" s="1" t="s">
        <v>1121</v>
      </c>
      <c r="B773" s="2">
        <v>44810.34652777778</v>
      </c>
      <c r="C773" s="1" t="s">
        <v>37</v>
      </c>
      <c r="D773" s="1" t="s">
        <v>195</v>
      </c>
      <c r="E773" s="1" t="s">
        <v>21</v>
      </c>
      <c r="F773" s="1" t="s">
        <v>77</v>
      </c>
      <c r="G773" s="1" t="s">
        <v>77</v>
      </c>
      <c r="H773" s="1" t="s">
        <v>77</v>
      </c>
      <c r="I773" s="1" t="s">
        <v>77</v>
      </c>
      <c r="J773" s="1" t="s">
        <v>77</v>
      </c>
      <c r="K773" s="1" t="s">
        <v>77</v>
      </c>
      <c r="L773">
        <v>20220906081856</v>
      </c>
      <c r="M773" s="1" t="s">
        <v>1123</v>
      </c>
      <c r="N773" s="1" t="s">
        <v>140</v>
      </c>
      <c r="O773">
        <v>9</v>
      </c>
      <c r="P773" s="3">
        <v>44810</v>
      </c>
      <c r="Q773">
        <v>36</v>
      </c>
    </row>
    <row r="774" spans="1:17" x14ac:dyDescent="0.3">
      <c r="A774" s="1" t="s">
        <v>1124</v>
      </c>
      <c r="B774" s="2">
        <v>44810.34652777778</v>
      </c>
      <c r="C774" s="1" t="s">
        <v>37</v>
      </c>
      <c r="D774" s="1" t="s">
        <v>38</v>
      </c>
      <c r="E774" s="1" t="s">
        <v>39</v>
      </c>
      <c r="F774" s="1" t="s">
        <v>77</v>
      </c>
      <c r="G774" s="1" t="s">
        <v>77</v>
      </c>
      <c r="H774" s="1" t="s">
        <v>77</v>
      </c>
      <c r="I774" s="1" t="s">
        <v>77</v>
      </c>
      <c r="J774" s="1" t="s">
        <v>77</v>
      </c>
      <c r="K774" s="1" t="s">
        <v>77</v>
      </c>
      <c r="L774">
        <v>20220906081908</v>
      </c>
      <c r="M774" s="1" t="s">
        <v>1125</v>
      </c>
      <c r="N774" s="1" t="s">
        <v>140</v>
      </c>
      <c r="O774">
        <v>9</v>
      </c>
      <c r="P774" s="3">
        <v>44810</v>
      </c>
      <c r="Q774">
        <v>36</v>
      </c>
    </row>
    <row r="775" spans="1:17" x14ac:dyDescent="0.3">
      <c r="A775" s="1" t="s">
        <v>1124</v>
      </c>
      <c r="B775" s="2">
        <v>44810.34652777778</v>
      </c>
      <c r="C775" s="1" t="s">
        <v>37</v>
      </c>
      <c r="D775" s="1" t="s">
        <v>41</v>
      </c>
      <c r="E775" s="1" t="s">
        <v>42</v>
      </c>
      <c r="F775" s="1" t="s">
        <v>77</v>
      </c>
      <c r="G775" s="1" t="s">
        <v>77</v>
      </c>
      <c r="H775" s="1" t="s">
        <v>77</v>
      </c>
      <c r="I775" s="1" t="s">
        <v>77</v>
      </c>
      <c r="J775" s="1" t="s">
        <v>77</v>
      </c>
      <c r="K775" s="1" t="s">
        <v>77</v>
      </c>
      <c r="L775">
        <v>20220906081919</v>
      </c>
      <c r="M775" s="1" t="s">
        <v>1126</v>
      </c>
      <c r="N775" s="1" t="s">
        <v>140</v>
      </c>
      <c r="O775">
        <v>9</v>
      </c>
      <c r="P775" s="3">
        <v>44810</v>
      </c>
      <c r="Q775">
        <v>36</v>
      </c>
    </row>
    <row r="776" spans="1:17" x14ac:dyDescent="0.3">
      <c r="A776" s="1" t="s">
        <v>1124</v>
      </c>
      <c r="B776" s="2">
        <v>44810.34652777778</v>
      </c>
      <c r="C776" s="1" t="s">
        <v>37</v>
      </c>
      <c r="D776" s="1" t="s">
        <v>44</v>
      </c>
      <c r="E776" s="1" t="s">
        <v>45</v>
      </c>
      <c r="F776" s="1" t="s">
        <v>77</v>
      </c>
      <c r="G776" s="1" t="s">
        <v>77</v>
      </c>
      <c r="H776" s="1" t="s">
        <v>77</v>
      </c>
      <c r="I776" s="1" t="s">
        <v>77</v>
      </c>
      <c r="J776" s="1" t="s">
        <v>77</v>
      </c>
      <c r="K776" s="1" t="s">
        <v>77</v>
      </c>
      <c r="L776">
        <v>20220906081928</v>
      </c>
      <c r="M776" s="1" t="s">
        <v>1127</v>
      </c>
      <c r="N776" s="1" t="s">
        <v>140</v>
      </c>
      <c r="O776">
        <v>9</v>
      </c>
      <c r="P776" s="3">
        <v>44810</v>
      </c>
      <c r="Q776">
        <v>36</v>
      </c>
    </row>
    <row r="777" spans="1:17" x14ac:dyDescent="0.3">
      <c r="A777" s="1" t="s">
        <v>1124</v>
      </c>
      <c r="B777" s="2">
        <v>44810.34652777778</v>
      </c>
      <c r="C777" s="1" t="s">
        <v>37</v>
      </c>
      <c r="D777" s="1" t="s">
        <v>47</v>
      </c>
      <c r="E777" s="1" t="s">
        <v>48</v>
      </c>
      <c r="F777" s="1" t="s">
        <v>77</v>
      </c>
      <c r="G777" s="1" t="s">
        <v>77</v>
      </c>
      <c r="H777" s="1" t="s">
        <v>77</v>
      </c>
      <c r="I777" s="1" t="s">
        <v>77</v>
      </c>
      <c r="J777" s="1" t="s">
        <v>77</v>
      </c>
      <c r="K777" s="1" t="s">
        <v>77</v>
      </c>
      <c r="L777">
        <v>20220906081945</v>
      </c>
      <c r="M777" s="1" t="s">
        <v>1128</v>
      </c>
      <c r="N777" s="1" t="s">
        <v>140</v>
      </c>
      <c r="O777">
        <v>9</v>
      </c>
      <c r="P777" s="3">
        <v>44810</v>
      </c>
      <c r="Q777">
        <v>36</v>
      </c>
    </row>
    <row r="778" spans="1:17" x14ac:dyDescent="0.3">
      <c r="A778" s="1" t="s">
        <v>1124</v>
      </c>
      <c r="B778" s="2">
        <v>44810.347222222219</v>
      </c>
      <c r="C778" s="1" t="s">
        <v>37</v>
      </c>
      <c r="D778" s="1" t="s">
        <v>47</v>
      </c>
      <c r="E778" s="1" t="s">
        <v>51</v>
      </c>
      <c r="F778" s="1" t="s">
        <v>77</v>
      </c>
      <c r="G778" s="1" t="s">
        <v>77</v>
      </c>
      <c r="H778" s="1" t="s">
        <v>77</v>
      </c>
      <c r="I778" s="1" t="s">
        <v>77</v>
      </c>
      <c r="J778" s="1" t="s">
        <v>77</v>
      </c>
      <c r="K778" s="1" t="s">
        <v>77</v>
      </c>
      <c r="L778">
        <v>20220906081959</v>
      </c>
      <c r="M778" s="1" t="s">
        <v>1129</v>
      </c>
      <c r="N778" s="1" t="s">
        <v>140</v>
      </c>
      <c r="O778">
        <v>9</v>
      </c>
      <c r="P778" s="3">
        <v>44810</v>
      </c>
      <c r="Q778">
        <v>36</v>
      </c>
    </row>
    <row r="779" spans="1:17" x14ac:dyDescent="0.3">
      <c r="A779" s="1" t="s">
        <v>1130</v>
      </c>
      <c r="B779" s="2">
        <v>44810.347222222219</v>
      </c>
      <c r="C779" s="1" t="s">
        <v>37</v>
      </c>
      <c r="D779" s="1" t="s">
        <v>47</v>
      </c>
      <c r="E779" s="1" t="s">
        <v>536</v>
      </c>
      <c r="F779" s="1" t="s">
        <v>77</v>
      </c>
      <c r="G779" s="1" t="s">
        <v>77</v>
      </c>
      <c r="H779" s="1" t="s">
        <v>77</v>
      </c>
      <c r="I779" s="1" t="s">
        <v>77</v>
      </c>
      <c r="J779" s="1" t="s">
        <v>77</v>
      </c>
      <c r="K779" s="1" t="s">
        <v>77</v>
      </c>
      <c r="L779">
        <v>20220906082006</v>
      </c>
      <c r="M779" s="1" t="s">
        <v>1131</v>
      </c>
      <c r="N779" s="1" t="s">
        <v>140</v>
      </c>
      <c r="O779">
        <v>9</v>
      </c>
      <c r="P779" s="3">
        <v>44810</v>
      </c>
      <c r="Q779">
        <v>36</v>
      </c>
    </row>
    <row r="780" spans="1:17" x14ac:dyDescent="0.3">
      <c r="A780" s="1" t="s">
        <v>1130</v>
      </c>
      <c r="B780" s="2">
        <v>44810.347222222219</v>
      </c>
      <c r="C780" s="1" t="s">
        <v>37</v>
      </c>
      <c r="D780" s="1" t="s">
        <v>53</v>
      </c>
      <c r="E780" s="1" t="s">
        <v>54</v>
      </c>
      <c r="F780" s="1" t="s">
        <v>77</v>
      </c>
      <c r="G780" s="1" t="s">
        <v>77</v>
      </c>
      <c r="H780" s="1" t="s">
        <v>77</v>
      </c>
      <c r="I780" s="1" t="s">
        <v>77</v>
      </c>
      <c r="J780" s="1" t="s">
        <v>77</v>
      </c>
      <c r="K780" s="1" t="s">
        <v>77</v>
      </c>
      <c r="L780">
        <v>20220906082014</v>
      </c>
      <c r="M780" s="1" t="s">
        <v>1132</v>
      </c>
      <c r="N780" s="1" t="s">
        <v>140</v>
      </c>
      <c r="O780">
        <v>9</v>
      </c>
      <c r="P780" s="3">
        <v>44810</v>
      </c>
      <c r="Q780">
        <v>36</v>
      </c>
    </row>
    <row r="781" spans="1:17" x14ac:dyDescent="0.3">
      <c r="A781" s="1" t="s">
        <v>1130</v>
      </c>
      <c r="B781" s="2">
        <v>44810.347222222219</v>
      </c>
      <c r="C781" s="1" t="s">
        <v>37</v>
      </c>
      <c r="D781" s="1" t="s">
        <v>19</v>
      </c>
      <c r="E781" s="1" t="s">
        <v>58</v>
      </c>
      <c r="F781" s="1" t="s">
        <v>77</v>
      </c>
      <c r="G781" s="1" t="s">
        <v>77</v>
      </c>
      <c r="H781" s="1" t="s">
        <v>77</v>
      </c>
      <c r="I781" s="1" t="s">
        <v>77</v>
      </c>
      <c r="J781" s="1" t="s">
        <v>77</v>
      </c>
      <c r="K781" s="1" t="s">
        <v>77</v>
      </c>
      <c r="L781">
        <v>20220906082021</v>
      </c>
      <c r="M781" s="1" t="s">
        <v>1133</v>
      </c>
      <c r="N781" s="1" t="s">
        <v>140</v>
      </c>
      <c r="O781">
        <v>9</v>
      </c>
      <c r="P781" s="3">
        <v>44810</v>
      </c>
      <c r="Q781">
        <v>36</v>
      </c>
    </row>
    <row r="782" spans="1:17" x14ac:dyDescent="0.3">
      <c r="A782" s="1" t="s">
        <v>1130</v>
      </c>
      <c r="B782" s="2">
        <v>44810.347222222219</v>
      </c>
      <c r="C782" s="1" t="s">
        <v>37</v>
      </c>
      <c r="D782" s="1" t="s">
        <v>60</v>
      </c>
      <c r="E782" s="1" t="s">
        <v>61</v>
      </c>
      <c r="F782" s="1" t="s">
        <v>77</v>
      </c>
      <c r="G782" s="1" t="s">
        <v>77</v>
      </c>
      <c r="H782" s="1" t="s">
        <v>77</v>
      </c>
      <c r="I782" s="1" t="s">
        <v>77</v>
      </c>
      <c r="J782" s="1" t="s">
        <v>77</v>
      </c>
      <c r="K782" s="1" t="s">
        <v>77</v>
      </c>
      <c r="L782">
        <v>20220906082031</v>
      </c>
      <c r="M782" s="1" t="s">
        <v>1134</v>
      </c>
      <c r="N782" s="1" t="s">
        <v>140</v>
      </c>
      <c r="O782">
        <v>9</v>
      </c>
      <c r="P782" s="3">
        <v>44810</v>
      </c>
      <c r="Q782">
        <v>36</v>
      </c>
    </row>
    <row r="783" spans="1:17" x14ac:dyDescent="0.3">
      <c r="A783" s="1" t="s">
        <v>1130</v>
      </c>
      <c r="B783" s="2">
        <v>44810.347222222219</v>
      </c>
      <c r="C783" s="1" t="s">
        <v>37</v>
      </c>
      <c r="D783" s="1" t="s">
        <v>29</v>
      </c>
      <c r="E783" s="1" t="s">
        <v>30</v>
      </c>
      <c r="F783" s="1" t="s">
        <v>77</v>
      </c>
      <c r="G783" s="1" t="s">
        <v>77</v>
      </c>
      <c r="H783" s="1" t="s">
        <v>77</v>
      </c>
      <c r="I783" s="1" t="s">
        <v>77</v>
      </c>
      <c r="J783" s="1" t="s">
        <v>77</v>
      </c>
      <c r="K783" s="1" t="s">
        <v>77</v>
      </c>
      <c r="L783">
        <v>20220906082043</v>
      </c>
      <c r="M783" s="1" t="s">
        <v>1135</v>
      </c>
      <c r="N783" s="1" t="s">
        <v>140</v>
      </c>
      <c r="O783">
        <v>9</v>
      </c>
      <c r="P783" s="3">
        <v>44810</v>
      </c>
      <c r="Q783">
        <v>36</v>
      </c>
    </row>
    <row r="784" spans="1:17" x14ac:dyDescent="0.3">
      <c r="A784" s="1" t="s">
        <v>1130</v>
      </c>
      <c r="B784" s="2">
        <v>44810.347222222219</v>
      </c>
      <c r="C784" s="1" t="s">
        <v>37</v>
      </c>
      <c r="D784" s="1" t="s">
        <v>29</v>
      </c>
      <c r="E784" s="1" t="s">
        <v>554</v>
      </c>
      <c r="F784" s="1" t="s">
        <v>77</v>
      </c>
      <c r="G784" s="1" t="s">
        <v>77</v>
      </c>
      <c r="H784" s="1" t="s">
        <v>77</v>
      </c>
      <c r="I784" s="1" t="s">
        <v>77</v>
      </c>
      <c r="J784" s="1" t="s">
        <v>77</v>
      </c>
      <c r="K784" s="1" t="s">
        <v>77</v>
      </c>
      <c r="L784">
        <v>20220906082053</v>
      </c>
      <c r="M784" s="1" t="s">
        <v>1136</v>
      </c>
      <c r="N784" s="1" t="s">
        <v>140</v>
      </c>
      <c r="O784">
        <v>9</v>
      </c>
      <c r="P784" s="3">
        <v>44810</v>
      </c>
      <c r="Q784">
        <v>36</v>
      </c>
    </row>
    <row r="785" spans="1:17" x14ac:dyDescent="0.3">
      <c r="A785" s="1" t="s">
        <v>1137</v>
      </c>
      <c r="B785" s="2">
        <v>44810.347916666666</v>
      </c>
      <c r="C785" s="1" t="s">
        <v>37</v>
      </c>
      <c r="D785" s="1" t="s">
        <v>53</v>
      </c>
      <c r="E785" s="1" t="s">
        <v>56</v>
      </c>
      <c r="F785" s="1" t="s">
        <v>77</v>
      </c>
      <c r="G785" s="1" t="s">
        <v>77</v>
      </c>
      <c r="H785" s="1" t="s">
        <v>77</v>
      </c>
      <c r="I785" s="1" t="s">
        <v>77</v>
      </c>
      <c r="J785" s="1" t="s">
        <v>77</v>
      </c>
      <c r="K785" s="1" t="s">
        <v>77</v>
      </c>
      <c r="L785">
        <v>20220906082102</v>
      </c>
      <c r="M785" s="1" t="s">
        <v>1138</v>
      </c>
      <c r="N785" s="1" t="s">
        <v>140</v>
      </c>
      <c r="O785">
        <v>9</v>
      </c>
      <c r="P785" s="3">
        <v>44810</v>
      </c>
      <c r="Q785">
        <v>36</v>
      </c>
    </row>
    <row r="786" spans="1:17" x14ac:dyDescent="0.3">
      <c r="A786" s="1" t="s">
        <v>1139</v>
      </c>
      <c r="B786" s="2">
        <v>44811.365972222222</v>
      </c>
      <c r="C786" s="1" t="s">
        <v>18</v>
      </c>
      <c r="D786" s="1" t="s">
        <v>26</v>
      </c>
      <c r="E786" s="1" t="s">
        <v>20</v>
      </c>
      <c r="F786" s="1" t="s">
        <v>77</v>
      </c>
      <c r="G786" s="1" t="s">
        <v>77</v>
      </c>
      <c r="H786" s="1" t="s">
        <v>77</v>
      </c>
      <c r="I786" s="1" t="s">
        <v>77</v>
      </c>
      <c r="J786" s="1" t="s">
        <v>27</v>
      </c>
      <c r="K786" s="1" t="s">
        <v>309</v>
      </c>
      <c r="L786">
        <v>20220907084659</v>
      </c>
      <c r="M786" s="1" t="s">
        <v>1140</v>
      </c>
      <c r="N786" s="1" t="s">
        <v>24</v>
      </c>
      <c r="O786">
        <v>9</v>
      </c>
      <c r="P786" s="3">
        <v>44811</v>
      </c>
      <c r="Q786">
        <v>36</v>
      </c>
    </row>
    <row r="787" spans="1:17" x14ac:dyDescent="0.3">
      <c r="A787" s="1" t="s">
        <v>1141</v>
      </c>
      <c r="B787" s="2">
        <v>44811.365972222222</v>
      </c>
      <c r="C787" s="1" t="s">
        <v>37</v>
      </c>
      <c r="D787" s="1" t="s">
        <v>195</v>
      </c>
      <c r="E787" s="1" t="s">
        <v>21</v>
      </c>
      <c r="F787" s="1" t="s">
        <v>77</v>
      </c>
      <c r="G787" s="1" t="s">
        <v>77</v>
      </c>
      <c r="H787" s="1" t="s">
        <v>77</v>
      </c>
      <c r="I787" s="1" t="s">
        <v>77</v>
      </c>
      <c r="J787" s="1" t="s">
        <v>77</v>
      </c>
      <c r="K787" s="1" t="s">
        <v>77</v>
      </c>
      <c r="L787">
        <v>20220907084705</v>
      </c>
      <c r="M787" s="1" t="s">
        <v>1142</v>
      </c>
      <c r="N787" s="1" t="s">
        <v>24</v>
      </c>
      <c r="O787">
        <v>9</v>
      </c>
      <c r="P787" s="3">
        <v>44811</v>
      </c>
      <c r="Q787">
        <v>36</v>
      </c>
    </row>
    <row r="788" spans="1:17" x14ac:dyDescent="0.3">
      <c r="A788" s="1" t="s">
        <v>1141</v>
      </c>
      <c r="B788" s="2">
        <v>44811.365972222222</v>
      </c>
      <c r="C788" s="1" t="s">
        <v>37</v>
      </c>
      <c r="D788" s="1" t="s">
        <v>38</v>
      </c>
      <c r="E788" s="1" t="s">
        <v>39</v>
      </c>
      <c r="F788" s="1" t="s">
        <v>77</v>
      </c>
      <c r="G788" s="1" t="s">
        <v>77</v>
      </c>
      <c r="H788" s="1" t="s">
        <v>77</v>
      </c>
      <c r="I788" s="1" t="s">
        <v>77</v>
      </c>
      <c r="J788" s="1" t="s">
        <v>77</v>
      </c>
      <c r="K788" s="1" t="s">
        <v>77</v>
      </c>
      <c r="L788">
        <v>20220907084712</v>
      </c>
      <c r="M788" s="1" t="s">
        <v>1143</v>
      </c>
      <c r="N788" s="1" t="s">
        <v>24</v>
      </c>
      <c r="O788">
        <v>9</v>
      </c>
      <c r="P788" s="3">
        <v>44811</v>
      </c>
      <c r="Q788">
        <v>36</v>
      </c>
    </row>
    <row r="789" spans="1:17" x14ac:dyDescent="0.3">
      <c r="A789" s="1" t="s">
        <v>1141</v>
      </c>
      <c r="B789" s="2">
        <v>44811.365972222222</v>
      </c>
      <c r="C789" s="1" t="s">
        <v>37</v>
      </c>
      <c r="D789" s="1" t="s">
        <v>44</v>
      </c>
      <c r="E789" s="1" t="s">
        <v>45</v>
      </c>
      <c r="F789" s="1" t="s">
        <v>77</v>
      </c>
      <c r="G789" s="1" t="s">
        <v>77</v>
      </c>
      <c r="H789" s="1" t="s">
        <v>77</v>
      </c>
      <c r="I789" s="1" t="s">
        <v>77</v>
      </c>
      <c r="J789" s="1" t="s">
        <v>77</v>
      </c>
      <c r="K789" s="1" t="s">
        <v>77</v>
      </c>
      <c r="L789">
        <v>20220907084721</v>
      </c>
      <c r="M789" s="1" t="s">
        <v>1144</v>
      </c>
      <c r="N789" s="1" t="s">
        <v>24</v>
      </c>
      <c r="O789">
        <v>9</v>
      </c>
      <c r="P789" s="3">
        <v>44811</v>
      </c>
      <c r="Q789">
        <v>36</v>
      </c>
    </row>
    <row r="790" spans="1:17" x14ac:dyDescent="0.3">
      <c r="A790" s="1" t="s">
        <v>1141</v>
      </c>
      <c r="B790" s="2">
        <v>44811.365972222222</v>
      </c>
      <c r="C790" s="1" t="s">
        <v>18</v>
      </c>
      <c r="D790" s="1" t="s">
        <v>47</v>
      </c>
      <c r="E790" s="1" t="s">
        <v>20</v>
      </c>
      <c r="F790" s="1" t="s">
        <v>77</v>
      </c>
      <c r="G790" s="1" t="s">
        <v>77</v>
      </c>
      <c r="H790" s="1" t="s">
        <v>77</v>
      </c>
      <c r="I790" s="1" t="s">
        <v>77</v>
      </c>
      <c r="J790" s="1" t="s">
        <v>48</v>
      </c>
      <c r="K790" s="1" t="s">
        <v>171</v>
      </c>
      <c r="L790">
        <v>20220907084733</v>
      </c>
      <c r="M790" s="1" t="s">
        <v>1145</v>
      </c>
      <c r="N790" s="1" t="s">
        <v>24</v>
      </c>
      <c r="O790">
        <v>9</v>
      </c>
      <c r="P790" s="3">
        <v>44811</v>
      </c>
      <c r="Q790">
        <v>36</v>
      </c>
    </row>
    <row r="791" spans="1:17" x14ac:dyDescent="0.3">
      <c r="A791" s="1" t="s">
        <v>1141</v>
      </c>
      <c r="B791" s="2">
        <v>44811.365972222222</v>
      </c>
      <c r="C791" s="1" t="s">
        <v>37</v>
      </c>
      <c r="D791" s="1" t="s">
        <v>47</v>
      </c>
      <c r="E791" s="1" t="s">
        <v>51</v>
      </c>
      <c r="F791" s="1" t="s">
        <v>77</v>
      </c>
      <c r="G791" s="1" t="s">
        <v>77</v>
      </c>
      <c r="H791" s="1" t="s">
        <v>77</v>
      </c>
      <c r="I791" s="1" t="s">
        <v>77</v>
      </c>
      <c r="J791" s="1" t="s">
        <v>77</v>
      </c>
      <c r="K791" s="1" t="s">
        <v>77</v>
      </c>
      <c r="L791">
        <v>20220907084741</v>
      </c>
      <c r="M791" s="1" t="s">
        <v>1146</v>
      </c>
      <c r="N791" s="1" t="s">
        <v>24</v>
      </c>
      <c r="O791">
        <v>9</v>
      </c>
      <c r="P791" s="3">
        <v>44811</v>
      </c>
      <c r="Q791">
        <v>36</v>
      </c>
    </row>
    <row r="792" spans="1:17" x14ac:dyDescent="0.3">
      <c r="A792" s="1" t="s">
        <v>1141</v>
      </c>
      <c r="B792" s="2">
        <v>44811.366666666669</v>
      </c>
      <c r="C792" s="1" t="s">
        <v>37</v>
      </c>
      <c r="D792" s="1" t="s">
        <v>47</v>
      </c>
      <c r="E792" s="1" t="s">
        <v>536</v>
      </c>
      <c r="F792" s="1" t="s">
        <v>77</v>
      </c>
      <c r="G792" s="1" t="s">
        <v>77</v>
      </c>
      <c r="H792" s="1" t="s">
        <v>77</v>
      </c>
      <c r="I792" s="1" t="s">
        <v>77</v>
      </c>
      <c r="J792" s="1" t="s">
        <v>77</v>
      </c>
      <c r="K792" s="1" t="s">
        <v>77</v>
      </c>
      <c r="L792">
        <v>20220907084751</v>
      </c>
      <c r="M792" s="1" t="s">
        <v>1147</v>
      </c>
      <c r="N792" s="1" t="s">
        <v>24</v>
      </c>
      <c r="O792">
        <v>9</v>
      </c>
      <c r="P792" s="3">
        <v>44811</v>
      </c>
      <c r="Q792">
        <v>36</v>
      </c>
    </row>
    <row r="793" spans="1:17" x14ac:dyDescent="0.3">
      <c r="A793" s="1" t="s">
        <v>1148</v>
      </c>
      <c r="B793" s="2">
        <v>44811.366666666669</v>
      </c>
      <c r="C793" s="1" t="s">
        <v>37</v>
      </c>
      <c r="D793" s="1" t="s">
        <v>53</v>
      </c>
      <c r="E793" s="1" t="s">
        <v>54</v>
      </c>
      <c r="F793" s="1" t="s">
        <v>77</v>
      </c>
      <c r="G793" s="1" t="s">
        <v>77</v>
      </c>
      <c r="H793" s="1" t="s">
        <v>77</v>
      </c>
      <c r="I793" s="1" t="s">
        <v>77</v>
      </c>
      <c r="J793" s="1" t="s">
        <v>77</v>
      </c>
      <c r="K793" s="1" t="s">
        <v>77</v>
      </c>
      <c r="L793">
        <v>20220907084808</v>
      </c>
      <c r="M793" s="1" t="s">
        <v>1149</v>
      </c>
      <c r="N793" s="1" t="s">
        <v>24</v>
      </c>
      <c r="O793">
        <v>9</v>
      </c>
      <c r="P793" s="3">
        <v>44811</v>
      </c>
      <c r="Q793">
        <v>36</v>
      </c>
    </row>
    <row r="794" spans="1:17" x14ac:dyDescent="0.3">
      <c r="A794" s="1" t="s">
        <v>1148</v>
      </c>
      <c r="B794" s="2">
        <v>44811.366666666669</v>
      </c>
      <c r="C794" s="1" t="s">
        <v>37</v>
      </c>
      <c r="D794" s="1" t="s">
        <v>53</v>
      </c>
      <c r="E794" s="1" t="s">
        <v>56</v>
      </c>
      <c r="F794" s="1" t="s">
        <v>77</v>
      </c>
      <c r="G794" s="1" t="s">
        <v>77</v>
      </c>
      <c r="H794" s="1" t="s">
        <v>77</v>
      </c>
      <c r="I794" s="1" t="s">
        <v>77</v>
      </c>
      <c r="J794" s="1" t="s">
        <v>77</v>
      </c>
      <c r="K794" s="1" t="s">
        <v>77</v>
      </c>
      <c r="L794">
        <v>20220907084816</v>
      </c>
      <c r="M794" s="1" t="s">
        <v>1150</v>
      </c>
      <c r="N794" s="1" t="s">
        <v>24</v>
      </c>
      <c r="O794">
        <v>9</v>
      </c>
      <c r="P794" s="3">
        <v>44811</v>
      </c>
      <c r="Q794">
        <v>36</v>
      </c>
    </row>
    <row r="795" spans="1:17" x14ac:dyDescent="0.3">
      <c r="A795" s="1" t="s">
        <v>1148</v>
      </c>
      <c r="B795" s="2">
        <v>44811.366666666669</v>
      </c>
      <c r="C795" s="1" t="s">
        <v>37</v>
      </c>
      <c r="D795" s="1" t="s">
        <v>19</v>
      </c>
      <c r="E795" s="1" t="s">
        <v>58</v>
      </c>
      <c r="F795" s="1" t="s">
        <v>77</v>
      </c>
      <c r="G795" s="1" t="s">
        <v>77</v>
      </c>
      <c r="H795" s="1" t="s">
        <v>77</v>
      </c>
      <c r="I795" s="1" t="s">
        <v>77</v>
      </c>
      <c r="J795" s="1" t="s">
        <v>77</v>
      </c>
      <c r="K795" s="1" t="s">
        <v>77</v>
      </c>
      <c r="L795">
        <v>20220907084822</v>
      </c>
      <c r="M795" s="1" t="s">
        <v>1151</v>
      </c>
      <c r="N795" s="1" t="s">
        <v>24</v>
      </c>
      <c r="O795">
        <v>9</v>
      </c>
      <c r="P795" s="3">
        <v>44811</v>
      </c>
      <c r="Q795">
        <v>36</v>
      </c>
    </row>
    <row r="796" spans="1:17" x14ac:dyDescent="0.3">
      <c r="A796" s="1" t="s">
        <v>1148</v>
      </c>
      <c r="B796" s="2">
        <v>44811.366666666669</v>
      </c>
      <c r="C796" s="1" t="s">
        <v>37</v>
      </c>
      <c r="D796" s="1" t="s">
        <v>60</v>
      </c>
      <c r="E796" s="1" t="s">
        <v>61</v>
      </c>
      <c r="F796" s="1" t="s">
        <v>77</v>
      </c>
      <c r="G796" s="1" t="s">
        <v>77</v>
      </c>
      <c r="H796" s="1" t="s">
        <v>77</v>
      </c>
      <c r="I796" s="1" t="s">
        <v>77</v>
      </c>
      <c r="J796" s="1" t="s">
        <v>77</v>
      </c>
      <c r="K796" s="1" t="s">
        <v>77</v>
      </c>
      <c r="L796">
        <v>20220907084829</v>
      </c>
      <c r="M796" s="1" t="s">
        <v>1152</v>
      </c>
      <c r="N796" s="1" t="s">
        <v>24</v>
      </c>
      <c r="O796">
        <v>9</v>
      </c>
      <c r="P796" s="3">
        <v>44811</v>
      </c>
      <c r="Q796">
        <v>36</v>
      </c>
    </row>
    <row r="797" spans="1:17" x14ac:dyDescent="0.3">
      <c r="A797" s="1" t="s">
        <v>1148</v>
      </c>
      <c r="B797" s="2">
        <v>44811.366666666669</v>
      </c>
      <c r="C797" s="1" t="s">
        <v>434</v>
      </c>
      <c r="D797" s="1" t="s">
        <v>41</v>
      </c>
      <c r="E797" s="1" t="s">
        <v>77</v>
      </c>
      <c r="F797" s="1" t="s">
        <v>77</v>
      </c>
      <c r="G797" s="1" t="s">
        <v>77</v>
      </c>
      <c r="H797" s="1" t="s">
        <v>42</v>
      </c>
      <c r="I797" s="1" t="s">
        <v>1002</v>
      </c>
      <c r="J797" s="1" t="s">
        <v>20</v>
      </c>
      <c r="K797" s="1" t="s">
        <v>20</v>
      </c>
      <c r="L797">
        <v>20220907084835</v>
      </c>
      <c r="M797" s="1" t="s">
        <v>1153</v>
      </c>
      <c r="N797" s="1" t="s">
        <v>24</v>
      </c>
      <c r="O797">
        <v>9</v>
      </c>
      <c r="P797" s="3">
        <v>44811</v>
      </c>
      <c r="Q797">
        <v>36</v>
      </c>
    </row>
    <row r="798" spans="1:17" x14ac:dyDescent="0.3">
      <c r="A798" s="1" t="s">
        <v>1148</v>
      </c>
      <c r="B798" s="2">
        <v>44811.367361111108</v>
      </c>
      <c r="C798" s="1" t="s">
        <v>18</v>
      </c>
      <c r="D798" s="1" t="s">
        <v>29</v>
      </c>
      <c r="E798" s="1" t="s">
        <v>77</v>
      </c>
      <c r="F798" s="1" t="s">
        <v>77</v>
      </c>
      <c r="G798" s="1" t="s">
        <v>77</v>
      </c>
      <c r="H798" s="1" t="s">
        <v>77</v>
      </c>
      <c r="I798" s="1" t="s">
        <v>77</v>
      </c>
      <c r="J798" s="1" t="s">
        <v>30</v>
      </c>
      <c r="K798" s="1" t="s">
        <v>175</v>
      </c>
      <c r="L798">
        <v>20220907084856</v>
      </c>
      <c r="M798" s="1" t="s">
        <v>1154</v>
      </c>
      <c r="N798" s="1" t="s">
        <v>24</v>
      </c>
      <c r="O798">
        <v>9</v>
      </c>
      <c r="P798" s="3">
        <v>44811</v>
      </c>
      <c r="Q798">
        <v>36</v>
      </c>
    </row>
    <row r="799" spans="1:17" x14ac:dyDescent="0.3">
      <c r="A799" s="1" t="s">
        <v>1155</v>
      </c>
      <c r="B799" s="2">
        <v>44811.367361111108</v>
      </c>
      <c r="C799" s="1" t="s">
        <v>18</v>
      </c>
      <c r="D799" s="1" t="s">
        <v>29</v>
      </c>
      <c r="E799" s="1" t="s">
        <v>77</v>
      </c>
      <c r="F799" s="1" t="s">
        <v>77</v>
      </c>
      <c r="G799" s="1" t="s">
        <v>77</v>
      </c>
      <c r="H799" s="1" t="s">
        <v>77</v>
      </c>
      <c r="I799" s="1" t="s">
        <v>77</v>
      </c>
      <c r="J799" s="1" t="s">
        <v>554</v>
      </c>
      <c r="K799" s="1" t="s">
        <v>175</v>
      </c>
      <c r="L799">
        <v>20220907084915</v>
      </c>
      <c r="M799" s="1" t="s">
        <v>1156</v>
      </c>
      <c r="N799" s="1" t="s">
        <v>24</v>
      </c>
      <c r="O799">
        <v>9</v>
      </c>
      <c r="P799" s="3">
        <v>44811</v>
      </c>
      <c r="Q799">
        <v>36</v>
      </c>
    </row>
    <row r="800" spans="1:17" x14ac:dyDescent="0.3">
      <c r="A800" s="1" t="s">
        <v>1157</v>
      </c>
      <c r="B800" s="2">
        <v>44812.367361111108</v>
      </c>
      <c r="C800" s="1" t="s">
        <v>37</v>
      </c>
      <c r="D800" s="1" t="s">
        <v>195</v>
      </c>
      <c r="E800" s="1" t="s">
        <v>21</v>
      </c>
      <c r="F800" s="1" t="s">
        <v>77</v>
      </c>
      <c r="G800" s="1" t="s">
        <v>77</v>
      </c>
      <c r="H800" s="1" t="s">
        <v>77</v>
      </c>
      <c r="I800" s="1" t="s">
        <v>77</v>
      </c>
      <c r="J800" s="1" t="s">
        <v>77</v>
      </c>
      <c r="K800" s="1" t="s">
        <v>77</v>
      </c>
      <c r="L800">
        <v>20220908084852</v>
      </c>
      <c r="M800" s="1" t="s">
        <v>1158</v>
      </c>
      <c r="N800" s="1" t="s">
        <v>65</v>
      </c>
      <c r="O800">
        <v>9</v>
      </c>
      <c r="P800" s="3">
        <v>44812</v>
      </c>
      <c r="Q800">
        <v>36</v>
      </c>
    </row>
    <row r="801" spans="1:17" x14ac:dyDescent="0.3">
      <c r="A801" s="1" t="s">
        <v>1159</v>
      </c>
      <c r="B801" s="2">
        <v>44812.367361111108</v>
      </c>
      <c r="C801" s="1" t="s">
        <v>37</v>
      </c>
      <c r="D801" s="1" t="s">
        <v>38</v>
      </c>
      <c r="E801" s="1" t="s">
        <v>39</v>
      </c>
      <c r="F801" s="1" t="s">
        <v>77</v>
      </c>
      <c r="G801" s="1" t="s">
        <v>77</v>
      </c>
      <c r="H801" s="1" t="s">
        <v>77</v>
      </c>
      <c r="I801" s="1" t="s">
        <v>77</v>
      </c>
      <c r="J801" s="1" t="s">
        <v>77</v>
      </c>
      <c r="K801" s="1" t="s">
        <v>77</v>
      </c>
      <c r="L801">
        <v>20220908084949</v>
      </c>
      <c r="M801" s="1" t="s">
        <v>1160</v>
      </c>
      <c r="N801" s="1" t="s">
        <v>65</v>
      </c>
      <c r="O801">
        <v>9</v>
      </c>
      <c r="P801" s="3">
        <v>44812</v>
      </c>
      <c r="Q801">
        <v>36</v>
      </c>
    </row>
    <row r="802" spans="1:17" x14ac:dyDescent="0.3">
      <c r="A802" s="1" t="s">
        <v>1159</v>
      </c>
      <c r="B802" s="2">
        <v>44812.368055555555</v>
      </c>
      <c r="C802" s="1" t="s">
        <v>37</v>
      </c>
      <c r="D802" s="1" t="s">
        <v>44</v>
      </c>
      <c r="E802" s="1" t="s">
        <v>45</v>
      </c>
      <c r="F802" s="1" t="s">
        <v>77</v>
      </c>
      <c r="G802" s="1" t="s">
        <v>77</v>
      </c>
      <c r="H802" s="1" t="s">
        <v>77</v>
      </c>
      <c r="I802" s="1" t="s">
        <v>77</v>
      </c>
      <c r="J802" s="1" t="s">
        <v>77</v>
      </c>
      <c r="K802" s="1" t="s">
        <v>77</v>
      </c>
      <c r="L802">
        <v>20220908084958</v>
      </c>
      <c r="M802" s="1" t="s">
        <v>1161</v>
      </c>
      <c r="N802" s="1" t="s">
        <v>65</v>
      </c>
      <c r="O802">
        <v>9</v>
      </c>
      <c r="P802" s="3">
        <v>44812</v>
      </c>
      <c r="Q802">
        <v>36</v>
      </c>
    </row>
    <row r="803" spans="1:17" x14ac:dyDescent="0.3">
      <c r="A803" s="1" t="s">
        <v>1162</v>
      </c>
      <c r="B803" s="2">
        <v>44812.368055555555</v>
      </c>
      <c r="C803" s="1" t="s">
        <v>37</v>
      </c>
      <c r="D803" s="1" t="s">
        <v>47</v>
      </c>
      <c r="E803" s="1" t="s">
        <v>51</v>
      </c>
      <c r="F803" s="1" t="s">
        <v>77</v>
      </c>
      <c r="G803" s="1" t="s">
        <v>77</v>
      </c>
      <c r="H803" s="1" t="s">
        <v>77</v>
      </c>
      <c r="I803" s="1" t="s">
        <v>77</v>
      </c>
      <c r="J803" s="1" t="s">
        <v>77</v>
      </c>
      <c r="K803" s="1" t="s">
        <v>77</v>
      </c>
      <c r="L803">
        <v>20220908085012</v>
      </c>
      <c r="M803" s="1" t="s">
        <v>1163</v>
      </c>
      <c r="N803" s="1" t="s">
        <v>65</v>
      </c>
      <c r="O803">
        <v>9</v>
      </c>
      <c r="P803" s="3">
        <v>44812</v>
      </c>
      <c r="Q803">
        <v>36</v>
      </c>
    </row>
    <row r="804" spans="1:17" x14ac:dyDescent="0.3">
      <c r="A804" s="1" t="s">
        <v>1162</v>
      </c>
      <c r="B804" s="2">
        <v>44812.368055555555</v>
      </c>
      <c r="C804" s="1" t="s">
        <v>37</v>
      </c>
      <c r="D804" s="1" t="s">
        <v>47</v>
      </c>
      <c r="E804" s="1" t="s">
        <v>536</v>
      </c>
      <c r="F804" s="1" t="s">
        <v>77</v>
      </c>
      <c r="G804" s="1" t="s">
        <v>77</v>
      </c>
      <c r="H804" s="1" t="s">
        <v>77</v>
      </c>
      <c r="I804" s="1" t="s">
        <v>77</v>
      </c>
      <c r="J804" s="1" t="s">
        <v>77</v>
      </c>
      <c r="K804" s="1" t="s">
        <v>77</v>
      </c>
      <c r="L804">
        <v>20220908085023</v>
      </c>
      <c r="M804" s="1" t="s">
        <v>1164</v>
      </c>
      <c r="N804" s="1" t="s">
        <v>65</v>
      </c>
      <c r="O804">
        <v>9</v>
      </c>
      <c r="P804" s="3">
        <v>44812</v>
      </c>
      <c r="Q804">
        <v>36</v>
      </c>
    </row>
    <row r="805" spans="1:17" x14ac:dyDescent="0.3">
      <c r="A805" s="1" t="s">
        <v>1162</v>
      </c>
      <c r="B805" s="2">
        <v>44812.368055555555</v>
      </c>
      <c r="C805" s="1" t="s">
        <v>37</v>
      </c>
      <c r="D805" s="1" t="s">
        <v>53</v>
      </c>
      <c r="E805" s="1" t="s">
        <v>54</v>
      </c>
      <c r="F805" s="1" t="s">
        <v>77</v>
      </c>
      <c r="G805" s="1" t="s">
        <v>77</v>
      </c>
      <c r="H805" s="1" t="s">
        <v>77</v>
      </c>
      <c r="I805" s="1" t="s">
        <v>77</v>
      </c>
      <c r="J805" s="1" t="s">
        <v>77</v>
      </c>
      <c r="K805" s="1" t="s">
        <v>77</v>
      </c>
      <c r="L805">
        <v>20220908085030</v>
      </c>
      <c r="M805" s="1" t="s">
        <v>1165</v>
      </c>
      <c r="N805" s="1" t="s">
        <v>65</v>
      </c>
      <c r="O805">
        <v>9</v>
      </c>
      <c r="P805" s="3">
        <v>44812</v>
      </c>
      <c r="Q805">
        <v>36</v>
      </c>
    </row>
    <row r="806" spans="1:17" x14ac:dyDescent="0.3">
      <c r="A806" s="1" t="s">
        <v>1162</v>
      </c>
      <c r="B806" s="2">
        <v>44812.368055555555</v>
      </c>
      <c r="C806" s="1" t="s">
        <v>37</v>
      </c>
      <c r="D806" s="1" t="s">
        <v>53</v>
      </c>
      <c r="E806" s="1" t="s">
        <v>56</v>
      </c>
      <c r="F806" s="1" t="s">
        <v>77</v>
      </c>
      <c r="G806" s="1" t="s">
        <v>77</v>
      </c>
      <c r="H806" s="1" t="s">
        <v>77</v>
      </c>
      <c r="I806" s="1" t="s">
        <v>77</v>
      </c>
      <c r="J806" s="1" t="s">
        <v>77</v>
      </c>
      <c r="K806" s="1" t="s">
        <v>77</v>
      </c>
      <c r="L806">
        <v>20220908085036</v>
      </c>
      <c r="M806" s="1" t="s">
        <v>1166</v>
      </c>
      <c r="N806" s="1" t="s">
        <v>65</v>
      </c>
      <c r="O806">
        <v>9</v>
      </c>
      <c r="P806" s="3">
        <v>44812</v>
      </c>
      <c r="Q806">
        <v>36</v>
      </c>
    </row>
    <row r="807" spans="1:17" x14ac:dyDescent="0.3">
      <c r="A807" s="1" t="s">
        <v>1162</v>
      </c>
      <c r="B807" s="2">
        <v>44812.368055555555</v>
      </c>
      <c r="C807" s="1" t="s">
        <v>37</v>
      </c>
      <c r="D807" s="1" t="s">
        <v>19</v>
      </c>
      <c r="E807" s="1" t="s">
        <v>58</v>
      </c>
      <c r="F807" s="1" t="s">
        <v>77</v>
      </c>
      <c r="G807" s="1" t="s">
        <v>77</v>
      </c>
      <c r="H807" s="1" t="s">
        <v>77</v>
      </c>
      <c r="I807" s="1" t="s">
        <v>77</v>
      </c>
      <c r="J807" s="1" t="s">
        <v>77</v>
      </c>
      <c r="K807" s="1" t="s">
        <v>77</v>
      </c>
      <c r="L807">
        <v>20220908085043</v>
      </c>
      <c r="M807" s="1" t="s">
        <v>1167</v>
      </c>
      <c r="N807" s="1" t="s">
        <v>65</v>
      </c>
      <c r="O807">
        <v>9</v>
      </c>
      <c r="P807" s="3">
        <v>44812</v>
      </c>
      <c r="Q807">
        <v>36</v>
      </c>
    </row>
    <row r="808" spans="1:17" x14ac:dyDescent="0.3">
      <c r="A808" s="1" t="s">
        <v>1162</v>
      </c>
      <c r="B808" s="2">
        <v>44812.368055555555</v>
      </c>
      <c r="C808" s="1" t="s">
        <v>37</v>
      </c>
      <c r="D808" s="1" t="s">
        <v>60</v>
      </c>
      <c r="E808" s="1" t="s">
        <v>61</v>
      </c>
      <c r="F808" s="1" t="s">
        <v>77</v>
      </c>
      <c r="G808" s="1" t="s">
        <v>77</v>
      </c>
      <c r="H808" s="1" t="s">
        <v>77</v>
      </c>
      <c r="I808" s="1" t="s">
        <v>77</v>
      </c>
      <c r="J808" s="1" t="s">
        <v>77</v>
      </c>
      <c r="K808" s="1" t="s">
        <v>77</v>
      </c>
      <c r="L808">
        <v>20220908085051</v>
      </c>
      <c r="M808" s="1" t="s">
        <v>1168</v>
      </c>
      <c r="N808" s="1" t="s">
        <v>65</v>
      </c>
      <c r="O808">
        <v>9</v>
      </c>
      <c r="P808" s="3">
        <v>44812</v>
      </c>
      <c r="Q808">
        <v>36</v>
      </c>
    </row>
    <row r="809" spans="1:17" x14ac:dyDescent="0.3">
      <c r="A809" s="1" t="s">
        <v>1162</v>
      </c>
      <c r="B809" s="2">
        <v>44812.368750000001</v>
      </c>
      <c r="C809" s="1" t="s">
        <v>37</v>
      </c>
      <c r="D809" s="1" t="s">
        <v>29</v>
      </c>
      <c r="E809" s="1" t="s">
        <v>30</v>
      </c>
      <c r="F809" s="1" t="s">
        <v>77</v>
      </c>
      <c r="G809" s="1" t="s">
        <v>77</v>
      </c>
      <c r="H809" s="1" t="s">
        <v>77</v>
      </c>
      <c r="I809" s="1" t="s">
        <v>77</v>
      </c>
      <c r="J809" s="1" t="s">
        <v>77</v>
      </c>
      <c r="K809" s="1" t="s">
        <v>77</v>
      </c>
      <c r="L809">
        <v>20220908085058</v>
      </c>
      <c r="M809" s="1" t="s">
        <v>1169</v>
      </c>
      <c r="N809" s="1" t="s">
        <v>65</v>
      </c>
      <c r="O809">
        <v>9</v>
      </c>
      <c r="P809" s="3">
        <v>44812</v>
      </c>
      <c r="Q809">
        <v>36</v>
      </c>
    </row>
    <row r="810" spans="1:17" x14ac:dyDescent="0.3">
      <c r="A810" s="1" t="s">
        <v>1170</v>
      </c>
      <c r="B810" s="2">
        <v>44812.368750000001</v>
      </c>
      <c r="C810" s="1" t="s">
        <v>18</v>
      </c>
      <c r="D810" s="1" t="s">
        <v>29</v>
      </c>
      <c r="E810" s="1" t="s">
        <v>20</v>
      </c>
      <c r="F810" s="1" t="s">
        <v>77</v>
      </c>
      <c r="G810" s="1" t="s">
        <v>77</v>
      </c>
      <c r="H810" s="1" t="s">
        <v>77</v>
      </c>
      <c r="I810" s="1" t="s">
        <v>77</v>
      </c>
      <c r="J810" s="1" t="s">
        <v>554</v>
      </c>
      <c r="K810" s="1" t="s">
        <v>171</v>
      </c>
      <c r="L810">
        <v>20220908085105</v>
      </c>
      <c r="M810" s="1" t="s">
        <v>1171</v>
      </c>
      <c r="N810" s="1" t="s">
        <v>65</v>
      </c>
      <c r="O810">
        <v>9</v>
      </c>
      <c r="P810" s="3">
        <v>44812</v>
      </c>
      <c r="Q810">
        <v>36</v>
      </c>
    </row>
    <row r="811" spans="1:17" x14ac:dyDescent="0.3">
      <c r="A811" s="1" t="s">
        <v>1172</v>
      </c>
      <c r="B811" s="2">
        <v>44812.370138888888</v>
      </c>
      <c r="C811" s="1" t="s">
        <v>434</v>
      </c>
      <c r="D811" s="1" t="s">
        <v>41</v>
      </c>
      <c r="E811" s="1" t="s">
        <v>77</v>
      </c>
      <c r="F811" s="1" t="s">
        <v>77</v>
      </c>
      <c r="G811" s="1" t="s">
        <v>77</v>
      </c>
      <c r="H811" s="1" t="s">
        <v>42</v>
      </c>
      <c r="I811" s="1" t="s">
        <v>435</v>
      </c>
      <c r="J811" s="1" t="s">
        <v>77</v>
      </c>
      <c r="K811" s="1" t="s">
        <v>77</v>
      </c>
      <c r="L811">
        <v>20220908085326</v>
      </c>
      <c r="M811" s="1" t="s">
        <v>1173</v>
      </c>
      <c r="N811" s="1" t="s">
        <v>65</v>
      </c>
      <c r="O811">
        <v>9</v>
      </c>
      <c r="P811" s="3">
        <v>44812</v>
      </c>
      <c r="Q811">
        <v>36</v>
      </c>
    </row>
    <row r="812" spans="1:17" x14ac:dyDescent="0.3">
      <c r="A812" s="1" t="s">
        <v>1172</v>
      </c>
      <c r="B812" s="2">
        <v>44812.370138888888</v>
      </c>
      <c r="C812" s="1" t="s">
        <v>18</v>
      </c>
      <c r="D812" s="1" t="s">
        <v>26</v>
      </c>
      <c r="E812" s="1" t="s">
        <v>77</v>
      </c>
      <c r="F812" s="1" t="s">
        <v>77</v>
      </c>
      <c r="G812" s="1" t="s">
        <v>77</v>
      </c>
      <c r="H812" s="1" t="s">
        <v>77</v>
      </c>
      <c r="I812" s="1" t="s">
        <v>77</v>
      </c>
      <c r="J812" s="1" t="s">
        <v>27</v>
      </c>
      <c r="K812" s="1" t="s">
        <v>309</v>
      </c>
      <c r="L812">
        <v>20220908085345</v>
      </c>
      <c r="M812" s="1" t="s">
        <v>1174</v>
      </c>
      <c r="N812" s="1" t="s">
        <v>65</v>
      </c>
      <c r="O812">
        <v>9</v>
      </c>
      <c r="P812" s="3">
        <v>44812</v>
      </c>
      <c r="Q812">
        <v>36</v>
      </c>
    </row>
    <row r="813" spans="1:17" x14ac:dyDescent="0.3">
      <c r="A813" s="1" t="s">
        <v>1172</v>
      </c>
      <c r="B813" s="2">
        <v>44812.370833333334</v>
      </c>
      <c r="C813" s="1" t="s">
        <v>18</v>
      </c>
      <c r="D813" s="1" t="s">
        <v>47</v>
      </c>
      <c r="E813" s="1" t="s">
        <v>77</v>
      </c>
      <c r="F813" s="1" t="s">
        <v>77</v>
      </c>
      <c r="G813" s="1" t="s">
        <v>77</v>
      </c>
      <c r="H813" s="1" t="s">
        <v>77</v>
      </c>
      <c r="I813" s="1" t="s">
        <v>77</v>
      </c>
      <c r="J813" s="1" t="s">
        <v>48</v>
      </c>
      <c r="K813" s="1" t="s">
        <v>171</v>
      </c>
      <c r="L813">
        <v>20220908085359</v>
      </c>
      <c r="M813" s="1" t="s">
        <v>1175</v>
      </c>
      <c r="N813" s="1" t="s">
        <v>65</v>
      </c>
      <c r="O813">
        <v>9</v>
      </c>
      <c r="P813" s="3">
        <v>44812</v>
      </c>
      <c r="Q813">
        <v>36</v>
      </c>
    </row>
    <row r="814" spans="1:17" x14ac:dyDescent="0.3">
      <c r="A814" s="1" t="s">
        <v>1176</v>
      </c>
      <c r="B814" s="2">
        <v>44813.411111111112</v>
      </c>
      <c r="C814" s="1" t="s">
        <v>37</v>
      </c>
      <c r="D814" s="1" t="s">
        <v>195</v>
      </c>
      <c r="E814" s="1" t="s">
        <v>21</v>
      </c>
      <c r="F814" s="1" t="s">
        <v>77</v>
      </c>
      <c r="G814" s="1" t="s">
        <v>77</v>
      </c>
      <c r="H814" s="1" t="s">
        <v>77</v>
      </c>
      <c r="I814" s="1" t="s">
        <v>77</v>
      </c>
      <c r="J814" s="1" t="s">
        <v>77</v>
      </c>
      <c r="K814" s="1" t="s">
        <v>77</v>
      </c>
      <c r="L814">
        <v>20220909095221</v>
      </c>
      <c r="M814" s="1" t="s">
        <v>1177</v>
      </c>
      <c r="N814" s="1" t="s">
        <v>84</v>
      </c>
      <c r="O814">
        <v>9</v>
      </c>
      <c r="P814" s="3">
        <v>44813</v>
      </c>
      <c r="Q814">
        <v>36</v>
      </c>
    </row>
    <row r="815" spans="1:17" x14ac:dyDescent="0.3">
      <c r="A815" s="1" t="s">
        <v>1178</v>
      </c>
      <c r="B815" s="2">
        <v>44813.411805555559</v>
      </c>
      <c r="C815" s="1" t="s">
        <v>37</v>
      </c>
      <c r="D815" s="1" t="s">
        <v>26</v>
      </c>
      <c r="E815" s="1" t="s">
        <v>27</v>
      </c>
      <c r="F815" s="1" t="s">
        <v>77</v>
      </c>
      <c r="G815" s="1" t="s">
        <v>77</v>
      </c>
      <c r="H815" s="1" t="s">
        <v>77</v>
      </c>
      <c r="I815" s="1" t="s">
        <v>77</v>
      </c>
      <c r="J815" s="1" t="s">
        <v>77</v>
      </c>
      <c r="K815" s="1" t="s">
        <v>77</v>
      </c>
      <c r="L815">
        <v>20220909095315</v>
      </c>
      <c r="M815" s="1" t="s">
        <v>1179</v>
      </c>
      <c r="N815" s="1" t="s">
        <v>84</v>
      </c>
      <c r="O815">
        <v>9</v>
      </c>
      <c r="P815" s="3">
        <v>44813</v>
      </c>
      <c r="Q815">
        <v>36</v>
      </c>
    </row>
    <row r="816" spans="1:17" x14ac:dyDescent="0.3">
      <c r="A816" s="1" t="s">
        <v>1178</v>
      </c>
      <c r="B816" s="2">
        <v>44813.412499999999</v>
      </c>
      <c r="C816" s="1" t="s">
        <v>37</v>
      </c>
      <c r="D816" s="1" t="s">
        <v>38</v>
      </c>
      <c r="E816" s="1" t="s">
        <v>39</v>
      </c>
      <c r="F816" s="1" t="s">
        <v>77</v>
      </c>
      <c r="G816" s="1" t="s">
        <v>77</v>
      </c>
      <c r="H816" s="1" t="s">
        <v>77</v>
      </c>
      <c r="I816" s="1" t="s">
        <v>77</v>
      </c>
      <c r="J816" s="1" t="s">
        <v>77</v>
      </c>
      <c r="K816" s="1" t="s">
        <v>77</v>
      </c>
      <c r="L816">
        <v>20220909095350</v>
      </c>
      <c r="M816" s="1" t="s">
        <v>1180</v>
      </c>
      <c r="N816" s="1" t="s">
        <v>84</v>
      </c>
      <c r="O816">
        <v>9</v>
      </c>
      <c r="P816" s="3">
        <v>44813</v>
      </c>
      <c r="Q816">
        <v>36</v>
      </c>
    </row>
    <row r="817" spans="1:17" x14ac:dyDescent="0.3">
      <c r="A817" s="1" t="s">
        <v>1181</v>
      </c>
      <c r="B817" s="2">
        <v>44813.412499999999</v>
      </c>
      <c r="C817" s="1" t="s">
        <v>37</v>
      </c>
      <c r="D817" s="1" t="s">
        <v>44</v>
      </c>
      <c r="E817" s="1" t="s">
        <v>45</v>
      </c>
      <c r="F817" s="1" t="s">
        <v>77</v>
      </c>
      <c r="G817" s="1" t="s">
        <v>77</v>
      </c>
      <c r="H817" s="1" t="s">
        <v>77</v>
      </c>
      <c r="I817" s="1" t="s">
        <v>77</v>
      </c>
      <c r="J817" s="1" t="s">
        <v>77</v>
      </c>
      <c r="K817" s="1" t="s">
        <v>77</v>
      </c>
      <c r="L817">
        <v>20220909095403</v>
      </c>
      <c r="M817" s="1" t="s">
        <v>1182</v>
      </c>
      <c r="N817" s="1" t="s">
        <v>84</v>
      </c>
      <c r="O817">
        <v>9</v>
      </c>
      <c r="P817" s="3">
        <v>44813</v>
      </c>
      <c r="Q817">
        <v>36</v>
      </c>
    </row>
    <row r="818" spans="1:17" x14ac:dyDescent="0.3">
      <c r="A818" s="1" t="s">
        <v>1181</v>
      </c>
      <c r="B818" s="2">
        <v>44813.412499999999</v>
      </c>
      <c r="C818" s="1" t="s">
        <v>37</v>
      </c>
      <c r="D818" s="1" t="s">
        <v>47</v>
      </c>
      <c r="E818" s="1" t="s">
        <v>48</v>
      </c>
      <c r="F818" s="1" t="s">
        <v>77</v>
      </c>
      <c r="G818" s="1" t="s">
        <v>77</v>
      </c>
      <c r="H818" s="1" t="s">
        <v>77</v>
      </c>
      <c r="I818" s="1" t="s">
        <v>77</v>
      </c>
      <c r="J818" s="1" t="s">
        <v>77</v>
      </c>
      <c r="K818" s="1" t="s">
        <v>77</v>
      </c>
      <c r="L818">
        <v>20220909095410</v>
      </c>
      <c r="M818" s="1" t="s">
        <v>1183</v>
      </c>
      <c r="N818" s="1" t="s">
        <v>84</v>
      </c>
      <c r="O818">
        <v>9</v>
      </c>
      <c r="P818" s="3">
        <v>44813</v>
      </c>
      <c r="Q818">
        <v>36</v>
      </c>
    </row>
    <row r="819" spans="1:17" x14ac:dyDescent="0.3">
      <c r="A819" s="1" t="s">
        <v>1181</v>
      </c>
      <c r="B819" s="2">
        <v>44813.412499999999</v>
      </c>
      <c r="C819" s="1" t="s">
        <v>37</v>
      </c>
      <c r="D819" s="1" t="s">
        <v>47</v>
      </c>
      <c r="E819" s="1" t="s">
        <v>51</v>
      </c>
      <c r="F819" s="1" t="s">
        <v>77</v>
      </c>
      <c r="G819" s="1" t="s">
        <v>77</v>
      </c>
      <c r="H819" s="1" t="s">
        <v>77</v>
      </c>
      <c r="I819" s="1" t="s">
        <v>77</v>
      </c>
      <c r="J819" s="1" t="s">
        <v>77</v>
      </c>
      <c r="K819" s="1" t="s">
        <v>77</v>
      </c>
      <c r="L819">
        <v>20220909095417</v>
      </c>
      <c r="M819" s="1" t="s">
        <v>1184</v>
      </c>
      <c r="N819" s="1" t="s">
        <v>84</v>
      </c>
      <c r="O819">
        <v>9</v>
      </c>
      <c r="P819" s="3">
        <v>44813</v>
      </c>
      <c r="Q819">
        <v>36</v>
      </c>
    </row>
    <row r="820" spans="1:17" x14ac:dyDescent="0.3">
      <c r="A820" s="1" t="s">
        <v>1181</v>
      </c>
      <c r="B820" s="2">
        <v>44813.412499999999</v>
      </c>
      <c r="C820" s="1" t="s">
        <v>37</v>
      </c>
      <c r="D820" s="1" t="s">
        <v>47</v>
      </c>
      <c r="E820" s="1" t="s">
        <v>536</v>
      </c>
      <c r="F820" s="1" t="s">
        <v>77</v>
      </c>
      <c r="G820" s="1" t="s">
        <v>77</v>
      </c>
      <c r="H820" s="1" t="s">
        <v>77</v>
      </c>
      <c r="I820" s="1" t="s">
        <v>77</v>
      </c>
      <c r="J820" s="1" t="s">
        <v>77</v>
      </c>
      <c r="K820" s="1" t="s">
        <v>77</v>
      </c>
      <c r="L820">
        <v>20220909095424</v>
      </c>
      <c r="M820" s="1" t="s">
        <v>1185</v>
      </c>
      <c r="N820" s="1" t="s">
        <v>84</v>
      </c>
      <c r="O820">
        <v>9</v>
      </c>
      <c r="P820" s="3">
        <v>44813</v>
      </c>
      <c r="Q820">
        <v>36</v>
      </c>
    </row>
    <row r="821" spans="1:17" x14ac:dyDescent="0.3">
      <c r="A821" s="1" t="s">
        <v>1181</v>
      </c>
      <c r="B821" s="2">
        <v>44813.412499999999</v>
      </c>
      <c r="C821" s="1" t="s">
        <v>37</v>
      </c>
      <c r="D821" s="1" t="s">
        <v>53</v>
      </c>
      <c r="E821" s="1" t="s">
        <v>54</v>
      </c>
      <c r="F821" s="1" t="s">
        <v>77</v>
      </c>
      <c r="G821" s="1" t="s">
        <v>77</v>
      </c>
      <c r="H821" s="1" t="s">
        <v>77</v>
      </c>
      <c r="I821" s="1" t="s">
        <v>77</v>
      </c>
      <c r="J821" s="1" t="s">
        <v>77</v>
      </c>
      <c r="K821" s="1" t="s">
        <v>77</v>
      </c>
      <c r="L821">
        <v>20220909095455</v>
      </c>
      <c r="M821" s="1" t="s">
        <v>1186</v>
      </c>
      <c r="N821" s="1" t="s">
        <v>84</v>
      </c>
      <c r="O821">
        <v>9</v>
      </c>
      <c r="P821" s="3">
        <v>44813</v>
      </c>
      <c r="Q821">
        <v>36</v>
      </c>
    </row>
    <row r="822" spans="1:17" x14ac:dyDescent="0.3">
      <c r="A822" s="1" t="s">
        <v>1187</v>
      </c>
      <c r="B822" s="2">
        <v>44813.413194444445</v>
      </c>
      <c r="C822" s="1" t="s">
        <v>37</v>
      </c>
      <c r="D822" s="1" t="s">
        <v>53</v>
      </c>
      <c r="E822" s="1" t="s">
        <v>56</v>
      </c>
      <c r="F822" s="1" t="s">
        <v>77</v>
      </c>
      <c r="G822" s="1" t="s">
        <v>77</v>
      </c>
      <c r="H822" s="1" t="s">
        <v>77</v>
      </c>
      <c r="I822" s="1" t="s">
        <v>77</v>
      </c>
      <c r="J822" s="1" t="s">
        <v>77</v>
      </c>
      <c r="K822" s="1" t="s">
        <v>77</v>
      </c>
      <c r="L822">
        <v>20220909095503</v>
      </c>
      <c r="M822" s="1" t="s">
        <v>1188</v>
      </c>
      <c r="N822" s="1" t="s">
        <v>84</v>
      </c>
      <c r="O822">
        <v>9</v>
      </c>
      <c r="P822" s="3">
        <v>44813</v>
      </c>
      <c r="Q822">
        <v>36</v>
      </c>
    </row>
    <row r="823" spans="1:17" x14ac:dyDescent="0.3">
      <c r="A823" s="1" t="s">
        <v>1187</v>
      </c>
      <c r="B823" s="2">
        <v>44813.413194444445</v>
      </c>
      <c r="C823" s="1" t="s">
        <v>37</v>
      </c>
      <c r="D823" s="1" t="s">
        <v>19</v>
      </c>
      <c r="E823" s="1" t="s">
        <v>58</v>
      </c>
      <c r="F823" s="1" t="s">
        <v>77</v>
      </c>
      <c r="G823" s="1" t="s">
        <v>77</v>
      </c>
      <c r="H823" s="1" t="s">
        <v>77</v>
      </c>
      <c r="I823" s="1" t="s">
        <v>77</v>
      </c>
      <c r="J823" s="1" t="s">
        <v>77</v>
      </c>
      <c r="K823" s="1" t="s">
        <v>77</v>
      </c>
      <c r="L823">
        <v>20220909095513</v>
      </c>
      <c r="M823" s="1" t="s">
        <v>1189</v>
      </c>
      <c r="N823" s="1" t="s">
        <v>84</v>
      </c>
      <c r="O823">
        <v>9</v>
      </c>
      <c r="P823" s="3">
        <v>44813</v>
      </c>
      <c r="Q823">
        <v>36</v>
      </c>
    </row>
    <row r="824" spans="1:17" x14ac:dyDescent="0.3">
      <c r="A824" s="1" t="s">
        <v>1187</v>
      </c>
      <c r="B824" s="2">
        <v>44813.413194444445</v>
      </c>
      <c r="C824" s="1" t="s">
        <v>37</v>
      </c>
      <c r="D824" s="1" t="s">
        <v>60</v>
      </c>
      <c r="E824" s="1" t="s">
        <v>61</v>
      </c>
      <c r="F824" s="1" t="s">
        <v>77</v>
      </c>
      <c r="G824" s="1" t="s">
        <v>77</v>
      </c>
      <c r="H824" s="1" t="s">
        <v>77</v>
      </c>
      <c r="I824" s="1" t="s">
        <v>77</v>
      </c>
      <c r="J824" s="1" t="s">
        <v>77</v>
      </c>
      <c r="K824" s="1" t="s">
        <v>77</v>
      </c>
      <c r="L824">
        <v>20220909095521</v>
      </c>
      <c r="M824" s="1" t="s">
        <v>1190</v>
      </c>
      <c r="N824" s="1" t="s">
        <v>84</v>
      </c>
      <c r="O824">
        <v>9</v>
      </c>
      <c r="P824" s="3">
        <v>44813</v>
      </c>
      <c r="Q824">
        <v>36</v>
      </c>
    </row>
    <row r="825" spans="1:17" x14ac:dyDescent="0.3">
      <c r="A825" s="1" t="s">
        <v>1187</v>
      </c>
      <c r="B825" s="2">
        <v>44813.413194444445</v>
      </c>
      <c r="C825" s="1" t="s">
        <v>37</v>
      </c>
      <c r="D825" s="1" t="s">
        <v>29</v>
      </c>
      <c r="E825" s="1" t="s">
        <v>30</v>
      </c>
      <c r="F825" s="1" t="s">
        <v>77</v>
      </c>
      <c r="G825" s="1" t="s">
        <v>77</v>
      </c>
      <c r="H825" s="1" t="s">
        <v>77</v>
      </c>
      <c r="I825" s="1" t="s">
        <v>77</v>
      </c>
      <c r="J825" s="1" t="s">
        <v>77</v>
      </c>
      <c r="K825" s="1" t="s">
        <v>77</v>
      </c>
      <c r="L825">
        <v>20220909095532</v>
      </c>
      <c r="M825" s="1" t="s">
        <v>1191</v>
      </c>
      <c r="N825" s="1" t="s">
        <v>84</v>
      </c>
      <c r="O825">
        <v>9</v>
      </c>
      <c r="P825" s="3">
        <v>44813</v>
      </c>
      <c r="Q825">
        <v>36</v>
      </c>
    </row>
    <row r="826" spans="1:17" x14ac:dyDescent="0.3">
      <c r="A826" s="1" t="s">
        <v>1187</v>
      </c>
      <c r="B826" s="2">
        <v>44813.413194444445</v>
      </c>
      <c r="C826" s="1" t="s">
        <v>434</v>
      </c>
      <c r="D826" s="1" t="s">
        <v>41</v>
      </c>
      <c r="E826" s="1" t="s">
        <v>77</v>
      </c>
      <c r="F826" s="1" t="s">
        <v>77</v>
      </c>
      <c r="G826" s="1" t="s">
        <v>77</v>
      </c>
      <c r="H826" s="1" t="s">
        <v>42</v>
      </c>
      <c r="I826" s="1" t="s">
        <v>435</v>
      </c>
      <c r="J826" s="1" t="s">
        <v>77</v>
      </c>
      <c r="K826" s="1" t="s">
        <v>77</v>
      </c>
      <c r="L826">
        <v>20220909095539</v>
      </c>
      <c r="M826" s="1" t="s">
        <v>1192</v>
      </c>
      <c r="N826" s="1" t="s">
        <v>84</v>
      </c>
      <c r="O826">
        <v>9</v>
      </c>
      <c r="P826" s="3">
        <v>44813</v>
      </c>
      <c r="Q826">
        <v>36</v>
      </c>
    </row>
    <row r="827" spans="1:17" x14ac:dyDescent="0.3">
      <c r="A827" s="1" t="s">
        <v>1187</v>
      </c>
      <c r="B827" s="2">
        <v>44813.413194444445</v>
      </c>
      <c r="C827" s="1" t="s">
        <v>18</v>
      </c>
      <c r="D827" s="1" t="s">
        <v>29</v>
      </c>
      <c r="E827" s="1" t="s">
        <v>77</v>
      </c>
      <c r="F827" s="1" t="s">
        <v>77</v>
      </c>
      <c r="G827" s="1" t="s">
        <v>77</v>
      </c>
      <c r="H827" s="1" t="s">
        <v>77</v>
      </c>
      <c r="I827" s="1" t="s">
        <v>77</v>
      </c>
      <c r="J827" s="1" t="s">
        <v>554</v>
      </c>
      <c r="K827" s="1" t="s">
        <v>171</v>
      </c>
      <c r="L827">
        <v>20220909095551</v>
      </c>
      <c r="M827" s="1" t="s">
        <v>1193</v>
      </c>
      <c r="N827" s="1" t="s">
        <v>84</v>
      </c>
      <c r="O827">
        <v>9</v>
      </c>
      <c r="P827" s="3">
        <v>44813</v>
      </c>
      <c r="Q827">
        <v>36</v>
      </c>
    </row>
    <row r="828" spans="1:17" x14ac:dyDescent="0.3">
      <c r="A828" s="1" t="s">
        <v>1194</v>
      </c>
      <c r="B828" s="2">
        <v>44814.400000000001</v>
      </c>
      <c r="C828" s="1" t="s">
        <v>37</v>
      </c>
      <c r="D828" s="1" t="s">
        <v>38</v>
      </c>
      <c r="E828" s="1" t="s">
        <v>39</v>
      </c>
      <c r="F828" s="1" t="s">
        <v>77</v>
      </c>
      <c r="G828" s="1" t="s">
        <v>77</v>
      </c>
      <c r="H828" s="1" t="s">
        <v>77</v>
      </c>
      <c r="I828" s="1" t="s">
        <v>77</v>
      </c>
      <c r="J828" s="1" t="s">
        <v>77</v>
      </c>
      <c r="K828" s="1" t="s">
        <v>77</v>
      </c>
      <c r="L828">
        <v>20220910093621</v>
      </c>
      <c r="M828" s="1" t="s">
        <v>1195</v>
      </c>
      <c r="N828" s="1" t="s">
        <v>101</v>
      </c>
      <c r="O828">
        <v>9</v>
      </c>
      <c r="P828" s="3">
        <v>44814</v>
      </c>
      <c r="Q828">
        <v>36</v>
      </c>
    </row>
    <row r="829" spans="1:17" x14ac:dyDescent="0.3">
      <c r="A829" s="1" t="s">
        <v>1194</v>
      </c>
      <c r="B829" s="2">
        <v>44814.400000000001</v>
      </c>
      <c r="C829" s="1" t="s">
        <v>37</v>
      </c>
      <c r="D829" s="1" t="s">
        <v>44</v>
      </c>
      <c r="E829" s="1" t="s">
        <v>45</v>
      </c>
      <c r="F829" s="1" t="s">
        <v>77</v>
      </c>
      <c r="G829" s="1" t="s">
        <v>77</v>
      </c>
      <c r="H829" s="1" t="s">
        <v>77</v>
      </c>
      <c r="I829" s="1" t="s">
        <v>77</v>
      </c>
      <c r="J829" s="1" t="s">
        <v>77</v>
      </c>
      <c r="K829" s="1" t="s">
        <v>77</v>
      </c>
      <c r="L829">
        <v>20220910093633</v>
      </c>
      <c r="M829" s="1" t="s">
        <v>1196</v>
      </c>
      <c r="N829" s="1" t="s">
        <v>101</v>
      </c>
      <c r="O829">
        <v>9</v>
      </c>
      <c r="P829" s="3">
        <v>44814</v>
      </c>
      <c r="Q829">
        <v>36</v>
      </c>
    </row>
    <row r="830" spans="1:17" x14ac:dyDescent="0.3">
      <c r="A830" s="1" t="s">
        <v>1194</v>
      </c>
      <c r="B830" s="2">
        <v>44814.400000000001</v>
      </c>
      <c r="C830" s="1" t="s">
        <v>37</v>
      </c>
      <c r="D830" s="1" t="s">
        <v>47</v>
      </c>
      <c r="E830" s="1" t="s">
        <v>51</v>
      </c>
      <c r="F830" s="1" t="s">
        <v>77</v>
      </c>
      <c r="G830" s="1" t="s">
        <v>77</v>
      </c>
      <c r="H830" s="1" t="s">
        <v>77</v>
      </c>
      <c r="I830" s="1" t="s">
        <v>77</v>
      </c>
      <c r="J830" s="1" t="s">
        <v>77</v>
      </c>
      <c r="K830" s="1" t="s">
        <v>77</v>
      </c>
      <c r="L830">
        <v>20220910093643</v>
      </c>
      <c r="M830" s="1" t="s">
        <v>1197</v>
      </c>
      <c r="N830" s="1" t="s">
        <v>101</v>
      </c>
      <c r="O830">
        <v>9</v>
      </c>
      <c r="P830" s="3">
        <v>44814</v>
      </c>
      <c r="Q830">
        <v>36</v>
      </c>
    </row>
    <row r="831" spans="1:17" x14ac:dyDescent="0.3">
      <c r="A831" s="1" t="s">
        <v>1194</v>
      </c>
      <c r="B831" s="2">
        <v>44814.400000000001</v>
      </c>
      <c r="C831" s="1" t="s">
        <v>37</v>
      </c>
      <c r="D831" s="1" t="s">
        <v>47</v>
      </c>
      <c r="E831" s="1" t="s">
        <v>536</v>
      </c>
      <c r="F831" s="1" t="s">
        <v>77</v>
      </c>
      <c r="G831" s="1" t="s">
        <v>77</v>
      </c>
      <c r="H831" s="1" t="s">
        <v>77</v>
      </c>
      <c r="I831" s="1" t="s">
        <v>77</v>
      </c>
      <c r="J831" s="1" t="s">
        <v>77</v>
      </c>
      <c r="K831" s="1" t="s">
        <v>77</v>
      </c>
      <c r="L831">
        <v>20220910093650</v>
      </c>
      <c r="M831" s="1" t="s">
        <v>1198</v>
      </c>
      <c r="N831" s="1" t="s">
        <v>101</v>
      </c>
      <c r="O831">
        <v>9</v>
      </c>
      <c r="P831" s="3">
        <v>44814</v>
      </c>
      <c r="Q831">
        <v>36</v>
      </c>
    </row>
    <row r="832" spans="1:17" x14ac:dyDescent="0.3">
      <c r="A832" s="1" t="s">
        <v>1194</v>
      </c>
      <c r="B832" s="2">
        <v>44814.400694444441</v>
      </c>
      <c r="C832" s="1" t="s">
        <v>37</v>
      </c>
      <c r="D832" s="1" t="s">
        <v>47</v>
      </c>
      <c r="E832" s="1" t="s">
        <v>536</v>
      </c>
      <c r="F832" s="1" t="s">
        <v>77</v>
      </c>
      <c r="G832" s="1" t="s">
        <v>77</v>
      </c>
      <c r="H832" s="1" t="s">
        <v>77</v>
      </c>
      <c r="I832" s="1" t="s">
        <v>77</v>
      </c>
      <c r="J832" s="1" t="s">
        <v>77</v>
      </c>
      <c r="K832" s="1" t="s">
        <v>77</v>
      </c>
      <c r="L832">
        <v>20220910093656</v>
      </c>
      <c r="M832" s="1" t="s">
        <v>1199</v>
      </c>
      <c r="N832" s="1" t="s">
        <v>101</v>
      </c>
      <c r="O832">
        <v>9</v>
      </c>
      <c r="P832" s="3">
        <v>44814</v>
      </c>
      <c r="Q832">
        <v>36</v>
      </c>
    </row>
    <row r="833" spans="1:17" x14ac:dyDescent="0.3">
      <c r="A833" s="1" t="s">
        <v>1200</v>
      </c>
      <c r="B833" s="2">
        <v>44814.400694444441</v>
      </c>
      <c r="C833" s="1" t="s">
        <v>37</v>
      </c>
      <c r="D833" s="1" t="s">
        <v>53</v>
      </c>
      <c r="E833" s="1" t="s">
        <v>54</v>
      </c>
      <c r="F833" s="1" t="s">
        <v>77</v>
      </c>
      <c r="G833" s="1" t="s">
        <v>77</v>
      </c>
      <c r="H833" s="1" t="s">
        <v>77</v>
      </c>
      <c r="I833" s="1" t="s">
        <v>77</v>
      </c>
      <c r="J833" s="1" t="s">
        <v>77</v>
      </c>
      <c r="K833" s="1" t="s">
        <v>77</v>
      </c>
      <c r="L833">
        <v>20220910093717</v>
      </c>
      <c r="M833" s="1" t="s">
        <v>1201</v>
      </c>
      <c r="N833" s="1" t="s">
        <v>101</v>
      </c>
      <c r="O833">
        <v>9</v>
      </c>
      <c r="P833" s="3">
        <v>44814</v>
      </c>
      <c r="Q833">
        <v>36</v>
      </c>
    </row>
    <row r="834" spans="1:17" x14ac:dyDescent="0.3">
      <c r="A834" s="1" t="s">
        <v>1200</v>
      </c>
      <c r="B834" s="2">
        <v>44814.400694444441</v>
      </c>
      <c r="C834" s="1" t="s">
        <v>37</v>
      </c>
      <c r="D834" s="1" t="s">
        <v>60</v>
      </c>
      <c r="E834" s="1" t="s">
        <v>61</v>
      </c>
      <c r="F834" s="1" t="s">
        <v>77</v>
      </c>
      <c r="G834" s="1" t="s">
        <v>77</v>
      </c>
      <c r="H834" s="1" t="s">
        <v>77</v>
      </c>
      <c r="I834" s="1" t="s">
        <v>77</v>
      </c>
      <c r="J834" s="1" t="s">
        <v>77</v>
      </c>
      <c r="K834" s="1" t="s">
        <v>77</v>
      </c>
      <c r="L834">
        <v>20220910093726</v>
      </c>
      <c r="M834" s="1" t="s">
        <v>1202</v>
      </c>
      <c r="N834" s="1" t="s">
        <v>101</v>
      </c>
      <c r="O834">
        <v>9</v>
      </c>
      <c r="P834" s="3">
        <v>44814</v>
      </c>
      <c r="Q834">
        <v>36</v>
      </c>
    </row>
    <row r="835" spans="1:17" x14ac:dyDescent="0.3">
      <c r="A835" s="1" t="s">
        <v>1200</v>
      </c>
      <c r="B835" s="2">
        <v>44814.401388888888</v>
      </c>
      <c r="C835" s="1" t="s">
        <v>434</v>
      </c>
      <c r="D835" s="1" t="s">
        <v>41</v>
      </c>
      <c r="E835" s="1" t="s">
        <v>77</v>
      </c>
      <c r="F835" s="1" t="s">
        <v>77</v>
      </c>
      <c r="G835" s="1" t="s">
        <v>77</v>
      </c>
      <c r="H835" s="1" t="s">
        <v>42</v>
      </c>
      <c r="I835" s="1" t="s">
        <v>435</v>
      </c>
      <c r="J835" s="1" t="s">
        <v>77</v>
      </c>
      <c r="K835" s="1" t="s">
        <v>77</v>
      </c>
      <c r="L835">
        <v>20220910093746</v>
      </c>
      <c r="M835" s="1" t="s">
        <v>1203</v>
      </c>
      <c r="N835" s="1" t="s">
        <v>101</v>
      </c>
      <c r="O835">
        <v>9</v>
      </c>
      <c r="P835" s="3">
        <v>44814</v>
      </c>
      <c r="Q835">
        <v>36</v>
      </c>
    </row>
    <row r="836" spans="1:17" x14ac:dyDescent="0.3">
      <c r="A836" s="1" t="s">
        <v>1204</v>
      </c>
      <c r="B836" s="2">
        <v>44814.401388888888</v>
      </c>
      <c r="C836" s="1" t="s">
        <v>18</v>
      </c>
      <c r="D836" s="1" t="s">
        <v>26</v>
      </c>
      <c r="E836" s="1" t="s">
        <v>77</v>
      </c>
      <c r="F836" s="1" t="s">
        <v>77</v>
      </c>
      <c r="G836" s="1" t="s">
        <v>77</v>
      </c>
      <c r="H836" s="1" t="s">
        <v>77</v>
      </c>
      <c r="I836" s="1" t="s">
        <v>77</v>
      </c>
      <c r="J836" s="1" t="s">
        <v>27</v>
      </c>
      <c r="K836" s="1" t="s">
        <v>171</v>
      </c>
      <c r="L836">
        <v>20220910093805</v>
      </c>
      <c r="M836" s="1" t="s">
        <v>1205</v>
      </c>
      <c r="N836" s="1" t="s">
        <v>101</v>
      </c>
      <c r="O836">
        <v>9</v>
      </c>
      <c r="P836" s="3">
        <v>44814</v>
      </c>
      <c r="Q836">
        <v>36</v>
      </c>
    </row>
    <row r="837" spans="1:17" x14ac:dyDescent="0.3">
      <c r="A837" s="1" t="s">
        <v>1204</v>
      </c>
      <c r="B837" s="2">
        <v>44814.401388888888</v>
      </c>
      <c r="C837" s="1" t="s">
        <v>18</v>
      </c>
      <c r="D837" s="1" t="s">
        <v>195</v>
      </c>
      <c r="E837" s="1" t="s">
        <v>77</v>
      </c>
      <c r="F837" s="1" t="s">
        <v>77</v>
      </c>
      <c r="G837" s="1" t="s">
        <v>77</v>
      </c>
      <c r="H837" s="1" t="s">
        <v>77</v>
      </c>
      <c r="I837" s="1" t="s">
        <v>77</v>
      </c>
      <c r="J837" s="1" t="s">
        <v>21</v>
      </c>
      <c r="K837" s="1" t="s">
        <v>171</v>
      </c>
      <c r="L837">
        <v>20220910093831</v>
      </c>
      <c r="M837" s="1" t="s">
        <v>1206</v>
      </c>
      <c r="N837" s="1" t="s">
        <v>101</v>
      </c>
      <c r="O837">
        <v>9</v>
      </c>
      <c r="P837" s="3">
        <v>44814</v>
      </c>
      <c r="Q837">
        <v>36</v>
      </c>
    </row>
    <row r="838" spans="1:17" x14ac:dyDescent="0.3">
      <c r="A838" s="1" t="s">
        <v>1204</v>
      </c>
      <c r="B838" s="2">
        <v>44814.402083333334</v>
      </c>
      <c r="C838" s="1" t="s">
        <v>18</v>
      </c>
      <c r="D838" s="1" t="s">
        <v>53</v>
      </c>
      <c r="E838" s="1" t="s">
        <v>77</v>
      </c>
      <c r="F838" s="1" t="s">
        <v>77</v>
      </c>
      <c r="G838" s="1" t="s">
        <v>77</v>
      </c>
      <c r="H838" s="1" t="s">
        <v>77</v>
      </c>
      <c r="I838" s="1" t="s">
        <v>77</v>
      </c>
      <c r="J838" s="1" t="s">
        <v>56</v>
      </c>
      <c r="K838" s="1" t="s">
        <v>171</v>
      </c>
      <c r="L838">
        <v>20220910093849</v>
      </c>
      <c r="M838" s="1" t="s">
        <v>1207</v>
      </c>
      <c r="N838" s="1" t="s">
        <v>101</v>
      </c>
      <c r="O838">
        <v>9</v>
      </c>
      <c r="P838" s="3">
        <v>44814</v>
      </c>
      <c r="Q838">
        <v>36</v>
      </c>
    </row>
    <row r="839" spans="1:17" x14ac:dyDescent="0.3">
      <c r="A839" s="1" t="s">
        <v>1208</v>
      </c>
      <c r="B839" s="2">
        <v>44814.402083333334</v>
      </c>
      <c r="C839" s="1" t="s">
        <v>18</v>
      </c>
      <c r="D839" s="1" t="s">
        <v>19</v>
      </c>
      <c r="E839" s="1" t="s">
        <v>77</v>
      </c>
      <c r="F839" s="1" t="s">
        <v>77</v>
      </c>
      <c r="G839" s="1" t="s">
        <v>77</v>
      </c>
      <c r="H839" s="1" t="s">
        <v>77</v>
      </c>
      <c r="I839" s="1" t="s">
        <v>77</v>
      </c>
      <c r="J839" s="1" t="s">
        <v>58</v>
      </c>
      <c r="K839" s="1" t="s">
        <v>171</v>
      </c>
      <c r="L839">
        <v>20220910093905</v>
      </c>
      <c r="M839" s="1" t="s">
        <v>1209</v>
      </c>
      <c r="N839" s="1" t="s">
        <v>101</v>
      </c>
      <c r="O839">
        <v>9</v>
      </c>
      <c r="P839" s="3">
        <v>44814</v>
      </c>
      <c r="Q839">
        <v>36</v>
      </c>
    </row>
    <row r="840" spans="1:17" x14ac:dyDescent="0.3">
      <c r="A840" s="1" t="s">
        <v>1208</v>
      </c>
      <c r="B840" s="2">
        <v>44814.402083333334</v>
      </c>
      <c r="C840" s="1" t="s">
        <v>18</v>
      </c>
      <c r="D840" s="1" t="s">
        <v>29</v>
      </c>
      <c r="E840" s="1" t="s">
        <v>77</v>
      </c>
      <c r="F840" s="1" t="s">
        <v>77</v>
      </c>
      <c r="G840" s="1" t="s">
        <v>77</v>
      </c>
      <c r="H840" s="1" t="s">
        <v>77</v>
      </c>
      <c r="I840" s="1" t="s">
        <v>77</v>
      </c>
      <c r="J840" s="1" t="s">
        <v>30</v>
      </c>
      <c r="K840" s="1" t="s">
        <v>523</v>
      </c>
      <c r="L840">
        <v>20220910093923</v>
      </c>
      <c r="M840" s="1" t="s">
        <v>1210</v>
      </c>
      <c r="N840" s="1" t="s">
        <v>101</v>
      </c>
      <c r="O840">
        <v>9</v>
      </c>
      <c r="P840" s="3">
        <v>44814</v>
      </c>
      <c r="Q840">
        <v>36</v>
      </c>
    </row>
    <row r="841" spans="1:17" x14ac:dyDescent="0.3">
      <c r="A841" s="1" t="s">
        <v>1208</v>
      </c>
      <c r="B841" s="2">
        <v>44814.402083333334</v>
      </c>
      <c r="C841" s="1" t="s">
        <v>18</v>
      </c>
      <c r="D841" s="1" t="s">
        <v>29</v>
      </c>
      <c r="E841" s="1" t="s">
        <v>77</v>
      </c>
      <c r="F841" s="1" t="s">
        <v>77</v>
      </c>
      <c r="G841" s="1" t="s">
        <v>77</v>
      </c>
      <c r="H841" s="1" t="s">
        <v>77</v>
      </c>
      <c r="I841" s="1" t="s">
        <v>77</v>
      </c>
      <c r="J841" s="1" t="s">
        <v>554</v>
      </c>
      <c r="K841" s="1" t="s">
        <v>523</v>
      </c>
      <c r="L841">
        <v>20220910093936</v>
      </c>
      <c r="M841" s="1" t="s">
        <v>1211</v>
      </c>
      <c r="N841" s="1" t="s">
        <v>101</v>
      </c>
      <c r="O841">
        <v>9</v>
      </c>
      <c r="P841" s="3">
        <v>44814</v>
      </c>
      <c r="Q841">
        <v>36</v>
      </c>
    </row>
    <row r="842" spans="1:17" x14ac:dyDescent="0.3">
      <c r="A842" s="1" t="s">
        <v>1212</v>
      </c>
      <c r="B842" s="2">
        <v>44816.361111111109</v>
      </c>
      <c r="C842" s="1" t="s">
        <v>18</v>
      </c>
      <c r="D842" s="1" t="s">
        <v>26</v>
      </c>
      <c r="E842" s="1" t="s">
        <v>20</v>
      </c>
      <c r="F842" s="1" t="s">
        <v>77</v>
      </c>
      <c r="G842" s="1" t="s">
        <v>77</v>
      </c>
      <c r="H842" s="1" t="s">
        <v>77</v>
      </c>
      <c r="I842" s="1" t="s">
        <v>77</v>
      </c>
      <c r="J842" s="1" t="s">
        <v>27</v>
      </c>
      <c r="K842" s="1" t="s">
        <v>171</v>
      </c>
      <c r="L842">
        <v>20220912084007</v>
      </c>
      <c r="M842" s="1" t="s">
        <v>1213</v>
      </c>
      <c r="N842" s="1" t="s">
        <v>120</v>
      </c>
      <c r="O842">
        <v>9</v>
      </c>
      <c r="P842" s="3">
        <v>44816</v>
      </c>
      <c r="Q842">
        <v>37</v>
      </c>
    </row>
    <row r="843" spans="1:17" x14ac:dyDescent="0.3">
      <c r="A843" s="1" t="s">
        <v>1212</v>
      </c>
      <c r="B843" s="2">
        <v>44816.361111111109</v>
      </c>
      <c r="C843" s="1" t="s">
        <v>37</v>
      </c>
      <c r="D843" s="1" t="s">
        <v>195</v>
      </c>
      <c r="E843" s="1" t="s">
        <v>21</v>
      </c>
      <c r="F843" s="1" t="s">
        <v>77</v>
      </c>
      <c r="G843" s="1" t="s">
        <v>77</v>
      </c>
      <c r="H843" s="1" t="s">
        <v>77</v>
      </c>
      <c r="I843" s="1" t="s">
        <v>77</v>
      </c>
      <c r="J843" s="1" t="s">
        <v>77</v>
      </c>
      <c r="K843" s="1" t="s">
        <v>77</v>
      </c>
      <c r="L843">
        <v>20220912084016</v>
      </c>
      <c r="M843" s="1" t="s">
        <v>1214</v>
      </c>
      <c r="N843" s="1" t="s">
        <v>120</v>
      </c>
      <c r="O843">
        <v>9</v>
      </c>
      <c r="P843" s="3">
        <v>44816</v>
      </c>
      <c r="Q843">
        <v>37</v>
      </c>
    </row>
    <row r="844" spans="1:17" x14ac:dyDescent="0.3">
      <c r="A844" s="1" t="s">
        <v>1212</v>
      </c>
      <c r="B844" s="2">
        <v>44816.361111111109</v>
      </c>
      <c r="C844" s="1" t="s">
        <v>37</v>
      </c>
      <c r="D844" s="1" t="s">
        <v>38</v>
      </c>
      <c r="E844" s="1" t="s">
        <v>39</v>
      </c>
      <c r="F844" s="1" t="s">
        <v>77</v>
      </c>
      <c r="G844" s="1" t="s">
        <v>77</v>
      </c>
      <c r="H844" s="1" t="s">
        <v>77</v>
      </c>
      <c r="I844" s="1" t="s">
        <v>77</v>
      </c>
      <c r="J844" s="1" t="s">
        <v>77</v>
      </c>
      <c r="K844" s="1" t="s">
        <v>77</v>
      </c>
      <c r="L844">
        <v>20220912084026</v>
      </c>
      <c r="M844" s="1" t="s">
        <v>1215</v>
      </c>
      <c r="N844" s="1" t="s">
        <v>120</v>
      </c>
      <c r="O844">
        <v>9</v>
      </c>
      <c r="P844" s="3">
        <v>44816</v>
      </c>
      <c r="Q844">
        <v>37</v>
      </c>
    </row>
    <row r="845" spans="1:17" x14ac:dyDescent="0.3">
      <c r="A845" s="1" t="s">
        <v>1212</v>
      </c>
      <c r="B845" s="2">
        <v>44816.361111111109</v>
      </c>
      <c r="C845" s="1" t="s">
        <v>37</v>
      </c>
      <c r="D845" s="1" t="s">
        <v>44</v>
      </c>
      <c r="E845" s="1" t="s">
        <v>45</v>
      </c>
      <c r="F845" s="1" t="s">
        <v>77</v>
      </c>
      <c r="G845" s="1" t="s">
        <v>77</v>
      </c>
      <c r="H845" s="1" t="s">
        <v>77</v>
      </c>
      <c r="I845" s="1" t="s">
        <v>77</v>
      </c>
      <c r="J845" s="1" t="s">
        <v>77</v>
      </c>
      <c r="K845" s="1" t="s">
        <v>77</v>
      </c>
      <c r="L845">
        <v>20220912084032</v>
      </c>
      <c r="M845" s="1" t="s">
        <v>1216</v>
      </c>
      <c r="N845" s="1" t="s">
        <v>120</v>
      </c>
      <c r="O845">
        <v>9</v>
      </c>
      <c r="P845" s="3">
        <v>44816</v>
      </c>
      <c r="Q845">
        <v>37</v>
      </c>
    </row>
    <row r="846" spans="1:17" x14ac:dyDescent="0.3">
      <c r="A846" s="1" t="s">
        <v>1212</v>
      </c>
      <c r="B846" s="2">
        <v>44816.361111111109</v>
      </c>
      <c r="C846" s="1" t="s">
        <v>37</v>
      </c>
      <c r="D846" s="1" t="s">
        <v>47</v>
      </c>
      <c r="E846" s="1" t="s">
        <v>51</v>
      </c>
      <c r="F846" s="1" t="s">
        <v>77</v>
      </c>
      <c r="G846" s="1" t="s">
        <v>77</v>
      </c>
      <c r="H846" s="1" t="s">
        <v>77</v>
      </c>
      <c r="I846" s="1" t="s">
        <v>77</v>
      </c>
      <c r="J846" s="1" t="s">
        <v>77</v>
      </c>
      <c r="K846" s="1" t="s">
        <v>77</v>
      </c>
      <c r="L846">
        <v>20220912084040</v>
      </c>
      <c r="M846" s="1" t="s">
        <v>1217</v>
      </c>
      <c r="N846" s="1" t="s">
        <v>120</v>
      </c>
      <c r="O846">
        <v>9</v>
      </c>
      <c r="P846" s="3">
        <v>44816</v>
      </c>
      <c r="Q846">
        <v>37</v>
      </c>
    </row>
    <row r="847" spans="1:17" x14ac:dyDescent="0.3">
      <c r="A847" s="1" t="s">
        <v>1212</v>
      </c>
      <c r="B847" s="2">
        <v>44816.361111111109</v>
      </c>
      <c r="C847" s="1" t="s">
        <v>37</v>
      </c>
      <c r="D847" s="1" t="s">
        <v>47</v>
      </c>
      <c r="E847" s="1" t="s">
        <v>536</v>
      </c>
      <c r="F847" s="1" t="s">
        <v>77</v>
      </c>
      <c r="G847" s="1" t="s">
        <v>77</v>
      </c>
      <c r="H847" s="1" t="s">
        <v>77</v>
      </c>
      <c r="I847" s="1" t="s">
        <v>77</v>
      </c>
      <c r="J847" s="1" t="s">
        <v>77</v>
      </c>
      <c r="K847" s="1" t="s">
        <v>77</v>
      </c>
      <c r="L847">
        <v>20220912084049</v>
      </c>
      <c r="M847" s="1" t="s">
        <v>1218</v>
      </c>
      <c r="N847" s="1" t="s">
        <v>120</v>
      </c>
      <c r="O847">
        <v>9</v>
      </c>
      <c r="P847" s="3">
        <v>44816</v>
      </c>
      <c r="Q847">
        <v>37</v>
      </c>
    </row>
    <row r="848" spans="1:17" x14ac:dyDescent="0.3">
      <c r="A848" s="1" t="s">
        <v>1212</v>
      </c>
      <c r="B848" s="2">
        <v>44816.361805555556</v>
      </c>
      <c r="C848" s="1" t="s">
        <v>37</v>
      </c>
      <c r="D848" s="1" t="s">
        <v>53</v>
      </c>
      <c r="E848" s="1" t="s">
        <v>54</v>
      </c>
      <c r="F848" s="1" t="s">
        <v>77</v>
      </c>
      <c r="G848" s="1" t="s">
        <v>77</v>
      </c>
      <c r="H848" s="1" t="s">
        <v>77</v>
      </c>
      <c r="I848" s="1" t="s">
        <v>77</v>
      </c>
      <c r="J848" s="1" t="s">
        <v>77</v>
      </c>
      <c r="K848" s="1" t="s">
        <v>77</v>
      </c>
      <c r="L848">
        <v>20220912084056</v>
      </c>
      <c r="M848" s="1" t="s">
        <v>1219</v>
      </c>
      <c r="N848" s="1" t="s">
        <v>120</v>
      </c>
      <c r="O848">
        <v>9</v>
      </c>
      <c r="P848" s="3">
        <v>44816</v>
      </c>
      <c r="Q848">
        <v>37</v>
      </c>
    </row>
    <row r="849" spans="1:17" x14ac:dyDescent="0.3">
      <c r="A849" s="1" t="s">
        <v>1220</v>
      </c>
      <c r="B849" s="2">
        <v>44816.361805555556</v>
      </c>
      <c r="C849" s="1" t="s">
        <v>37</v>
      </c>
      <c r="D849" s="1" t="s">
        <v>53</v>
      </c>
      <c r="E849" s="1" t="s">
        <v>56</v>
      </c>
      <c r="F849" s="1" t="s">
        <v>77</v>
      </c>
      <c r="G849" s="1" t="s">
        <v>77</v>
      </c>
      <c r="H849" s="1" t="s">
        <v>77</v>
      </c>
      <c r="I849" s="1" t="s">
        <v>77</v>
      </c>
      <c r="J849" s="1" t="s">
        <v>77</v>
      </c>
      <c r="K849" s="1" t="s">
        <v>77</v>
      </c>
      <c r="L849">
        <v>20220912084104</v>
      </c>
      <c r="M849" s="1" t="s">
        <v>1221</v>
      </c>
      <c r="N849" s="1" t="s">
        <v>120</v>
      </c>
      <c r="O849">
        <v>9</v>
      </c>
      <c r="P849" s="3">
        <v>44816</v>
      </c>
      <c r="Q849">
        <v>37</v>
      </c>
    </row>
    <row r="850" spans="1:17" x14ac:dyDescent="0.3">
      <c r="A850" s="1" t="s">
        <v>1220</v>
      </c>
      <c r="B850" s="2">
        <v>44816.361805555556</v>
      </c>
      <c r="C850" s="1" t="s">
        <v>37</v>
      </c>
      <c r="D850" s="1" t="s">
        <v>19</v>
      </c>
      <c r="E850" s="1" t="s">
        <v>58</v>
      </c>
      <c r="F850" s="1" t="s">
        <v>77</v>
      </c>
      <c r="G850" s="1" t="s">
        <v>77</v>
      </c>
      <c r="H850" s="1" t="s">
        <v>77</v>
      </c>
      <c r="I850" s="1" t="s">
        <v>77</v>
      </c>
      <c r="J850" s="1" t="s">
        <v>77</v>
      </c>
      <c r="K850" s="1" t="s">
        <v>77</v>
      </c>
      <c r="L850">
        <v>20220912084110</v>
      </c>
      <c r="M850" s="1" t="s">
        <v>1222</v>
      </c>
      <c r="N850" s="1" t="s">
        <v>120</v>
      </c>
      <c r="O850">
        <v>9</v>
      </c>
      <c r="P850" s="3">
        <v>44816</v>
      </c>
      <c r="Q850">
        <v>37</v>
      </c>
    </row>
    <row r="851" spans="1:17" x14ac:dyDescent="0.3">
      <c r="A851" s="1" t="s">
        <v>1220</v>
      </c>
      <c r="B851" s="2">
        <v>44816.361805555556</v>
      </c>
      <c r="C851" s="1" t="s">
        <v>37</v>
      </c>
      <c r="D851" s="1" t="s">
        <v>60</v>
      </c>
      <c r="E851" s="1" t="s">
        <v>61</v>
      </c>
      <c r="F851" s="1" t="s">
        <v>77</v>
      </c>
      <c r="G851" s="1" t="s">
        <v>77</v>
      </c>
      <c r="H851" s="1" t="s">
        <v>77</v>
      </c>
      <c r="I851" s="1" t="s">
        <v>77</v>
      </c>
      <c r="J851" s="1" t="s">
        <v>77</v>
      </c>
      <c r="K851" s="1" t="s">
        <v>77</v>
      </c>
      <c r="L851">
        <v>20220912084118</v>
      </c>
      <c r="M851" s="1" t="s">
        <v>1223</v>
      </c>
      <c r="N851" s="1" t="s">
        <v>120</v>
      </c>
      <c r="O851">
        <v>9</v>
      </c>
      <c r="P851" s="3">
        <v>44816</v>
      </c>
      <c r="Q851">
        <v>37</v>
      </c>
    </row>
    <row r="852" spans="1:17" x14ac:dyDescent="0.3">
      <c r="A852" s="1" t="s">
        <v>1220</v>
      </c>
      <c r="B852" s="2">
        <v>44816.361805555556</v>
      </c>
      <c r="C852" s="1" t="s">
        <v>37</v>
      </c>
      <c r="D852" s="1" t="s">
        <v>29</v>
      </c>
      <c r="E852" s="1" t="s">
        <v>554</v>
      </c>
      <c r="F852" s="1" t="s">
        <v>77</v>
      </c>
      <c r="G852" s="1" t="s">
        <v>77</v>
      </c>
      <c r="H852" s="1" t="s">
        <v>77</v>
      </c>
      <c r="I852" s="1" t="s">
        <v>77</v>
      </c>
      <c r="J852" s="1" t="s">
        <v>77</v>
      </c>
      <c r="K852" s="1" t="s">
        <v>77</v>
      </c>
      <c r="L852">
        <v>20220912084125</v>
      </c>
      <c r="M852" s="1" t="s">
        <v>1224</v>
      </c>
      <c r="N852" s="1" t="s">
        <v>120</v>
      </c>
      <c r="O852">
        <v>9</v>
      </c>
      <c r="P852" s="3">
        <v>44816</v>
      </c>
      <c r="Q852">
        <v>37</v>
      </c>
    </row>
    <row r="853" spans="1:17" x14ac:dyDescent="0.3">
      <c r="A853" s="1" t="s">
        <v>1220</v>
      </c>
      <c r="B853" s="2">
        <v>44816.361805555556</v>
      </c>
      <c r="C853" s="1" t="s">
        <v>37</v>
      </c>
      <c r="D853" s="1" t="s">
        <v>41</v>
      </c>
      <c r="E853" s="1" t="s">
        <v>42</v>
      </c>
      <c r="F853" s="1" t="s">
        <v>77</v>
      </c>
      <c r="G853" s="1" t="s">
        <v>77</v>
      </c>
      <c r="H853" s="1" t="s">
        <v>20</v>
      </c>
      <c r="I853" s="1" t="s">
        <v>20</v>
      </c>
      <c r="J853" s="1" t="s">
        <v>77</v>
      </c>
      <c r="K853" s="1" t="s">
        <v>77</v>
      </c>
      <c r="L853">
        <v>20220912084131</v>
      </c>
      <c r="M853" s="1" t="s">
        <v>1225</v>
      </c>
      <c r="N853" s="1" t="s">
        <v>120</v>
      </c>
      <c r="O853">
        <v>9</v>
      </c>
      <c r="P853" s="3">
        <v>44816</v>
      </c>
      <c r="Q853">
        <v>37</v>
      </c>
    </row>
    <row r="854" spans="1:17" x14ac:dyDescent="0.3">
      <c r="A854" s="1" t="s">
        <v>1220</v>
      </c>
      <c r="B854" s="2">
        <v>44816.362500000003</v>
      </c>
      <c r="C854" s="1" t="s">
        <v>37</v>
      </c>
      <c r="D854" s="1" t="s">
        <v>29</v>
      </c>
      <c r="E854" s="1" t="s">
        <v>30</v>
      </c>
      <c r="F854" s="1" t="s">
        <v>77</v>
      </c>
      <c r="G854" s="1" t="s">
        <v>77</v>
      </c>
      <c r="H854" s="1" t="s">
        <v>77</v>
      </c>
      <c r="I854" s="1" t="s">
        <v>77</v>
      </c>
      <c r="J854" s="1" t="s">
        <v>20</v>
      </c>
      <c r="K854" s="1" t="s">
        <v>20</v>
      </c>
      <c r="L854">
        <v>20220912084147</v>
      </c>
      <c r="M854" s="1" t="s">
        <v>1226</v>
      </c>
      <c r="N854" s="1" t="s">
        <v>120</v>
      </c>
      <c r="O854">
        <v>9</v>
      </c>
      <c r="P854" s="3">
        <v>44816</v>
      </c>
      <c r="Q854">
        <v>37</v>
      </c>
    </row>
    <row r="855" spans="1:17" x14ac:dyDescent="0.3">
      <c r="A855" s="1" t="s">
        <v>1227</v>
      </c>
      <c r="B855" s="2">
        <v>44816.362500000003</v>
      </c>
      <c r="C855" s="1" t="s">
        <v>37</v>
      </c>
      <c r="D855" s="1" t="s">
        <v>47</v>
      </c>
      <c r="E855" s="1" t="s">
        <v>48</v>
      </c>
      <c r="F855" s="1" t="s">
        <v>77</v>
      </c>
      <c r="G855" s="1" t="s">
        <v>77</v>
      </c>
      <c r="H855" s="1" t="s">
        <v>77</v>
      </c>
      <c r="I855" s="1" t="s">
        <v>77</v>
      </c>
      <c r="J855" s="1" t="s">
        <v>20</v>
      </c>
      <c r="K855" s="1" t="s">
        <v>20</v>
      </c>
      <c r="L855">
        <v>20220912084211</v>
      </c>
      <c r="M855" s="1" t="s">
        <v>1228</v>
      </c>
      <c r="N855" s="1" t="s">
        <v>120</v>
      </c>
      <c r="O855">
        <v>9</v>
      </c>
      <c r="P855" s="3">
        <v>44816</v>
      </c>
      <c r="Q855">
        <v>37</v>
      </c>
    </row>
    <row r="856" spans="1:17" x14ac:dyDescent="0.3">
      <c r="A856" s="1" t="s">
        <v>1229</v>
      </c>
      <c r="B856" s="2">
        <v>44817.350694444445</v>
      </c>
      <c r="C856" s="1" t="s">
        <v>37</v>
      </c>
      <c r="D856" s="1" t="s">
        <v>195</v>
      </c>
      <c r="E856" s="1" t="s">
        <v>21</v>
      </c>
      <c r="F856" s="1" t="s">
        <v>77</v>
      </c>
      <c r="G856" s="1" t="s">
        <v>77</v>
      </c>
      <c r="H856" s="1" t="s">
        <v>77</v>
      </c>
      <c r="I856" s="1" t="s">
        <v>77</v>
      </c>
      <c r="J856" s="1" t="s">
        <v>77</v>
      </c>
      <c r="K856" s="1" t="s">
        <v>77</v>
      </c>
      <c r="L856">
        <v>20220913082515</v>
      </c>
      <c r="M856" s="1" t="s">
        <v>1230</v>
      </c>
      <c r="N856" s="1" t="s">
        <v>140</v>
      </c>
      <c r="O856">
        <v>9</v>
      </c>
      <c r="P856" s="3">
        <v>44817</v>
      </c>
      <c r="Q856">
        <v>37</v>
      </c>
    </row>
    <row r="857" spans="1:17" x14ac:dyDescent="0.3">
      <c r="A857" s="1" t="s">
        <v>1229</v>
      </c>
      <c r="B857" s="2">
        <v>44817.350694444445</v>
      </c>
      <c r="C857" s="1" t="s">
        <v>37</v>
      </c>
      <c r="D857" s="1" t="s">
        <v>38</v>
      </c>
      <c r="E857" s="1" t="s">
        <v>39</v>
      </c>
      <c r="F857" s="1" t="s">
        <v>77</v>
      </c>
      <c r="G857" s="1" t="s">
        <v>77</v>
      </c>
      <c r="H857" s="1" t="s">
        <v>77</v>
      </c>
      <c r="I857" s="1" t="s">
        <v>77</v>
      </c>
      <c r="J857" s="1" t="s">
        <v>77</v>
      </c>
      <c r="K857" s="1" t="s">
        <v>77</v>
      </c>
      <c r="L857">
        <v>20220913082536</v>
      </c>
      <c r="M857" s="1" t="s">
        <v>1231</v>
      </c>
      <c r="N857" s="1" t="s">
        <v>140</v>
      </c>
      <c r="O857">
        <v>9</v>
      </c>
      <c r="P857" s="3">
        <v>44817</v>
      </c>
      <c r="Q857">
        <v>37</v>
      </c>
    </row>
    <row r="858" spans="1:17" x14ac:dyDescent="0.3">
      <c r="A858" s="1" t="s">
        <v>1229</v>
      </c>
      <c r="B858" s="2">
        <v>44817.350694444445</v>
      </c>
      <c r="C858" s="1" t="s">
        <v>37</v>
      </c>
      <c r="D858" s="1" t="s">
        <v>41</v>
      </c>
      <c r="E858" s="1" t="s">
        <v>42</v>
      </c>
      <c r="F858" s="1" t="s">
        <v>77</v>
      </c>
      <c r="G858" s="1" t="s">
        <v>77</v>
      </c>
      <c r="H858" s="1" t="s">
        <v>77</v>
      </c>
      <c r="I858" s="1" t="s">
        <v>77</v>
      </c>
      <c r="J858" s="1" t="s">
        <v>77</v>
      </c>
      <c r="K858" s="1" t="s">
        <v>77</v>
      </c>
      <c r="L858">
        <v>20220913082542</v>
      </c>
      <c r="M858" s="1" t="s">
        <v>1232</v>
      </c>
      <c r="N858" s="1" t="s">
        <v>140</v>
      </c>
      <c r="O858">
        <v>9</v>
      </c>
      <c r="P858" s="3">
        <v>44817</v>
      </c>
      <c r="Q858">
        <v>37</v>
      </c>
    </row>
    <row r="859" spans="1:17" x14ac:dyDescent="0.3">
      <c r="A859" s="1" t="s">
        <v>1229</v>
      </c>
      <c r="B859" s="2">
        <v>44817.350694444445</v>
      </c>
      <c r="C859" s="1" t="s">
        <v>37</v>
      </c>
      <c r="D859" s="1" t="s">
        <v>44</v>
      </c>
      <c r="E859" s="1" t="s">
        <v>45</v>
      </c>
      <c r="F859" s="1" t="s">
        <v>77</v>
      </c>
      <c r="G859" s="1" t="s">
        <v>77</v>
      </c>
      <c r="H859" s="1" t="s">
        <v>77</v>
      </c>
      <c r="I859" s="1" t="s">
        <v>77</v>
      </c>
      <c r="J859" s="1" t="s">
        <v>77</v>
      </c>
      <c r="K859" s="1" t="s">
        <v>77</v>
      </c>
      <c r="L859">
        <v>20220913082550</v>
      </c>
      <c r="M859" s="1" t="s">
        <v>1233</v>
      </c>
      <c r="N859" s="1" t="s">
        <v>140</v>
      </c>
      <c r="O859">
        <v>9</v>
      </c>
      <c r="P859" s="3">
        <v>44817</v>
      </c>
      <c r="Q859">
        <v>37</v>
      </c>
    </row>
    <row r="860" spans="1:17" x14ac:dyDescent="0.3">
      <c r="A860" s="1" t="s">
        <v>1229</v>
      </c>
      <c r="B860" s="2">
        <v>44817.351388888892</v>
      </c>
      <c r="C860" s="1" t="s">
        <v>37</v>
      </c>
      <c r="D860" s="1" t="s">
        <v>47</v>
      </c>
      <c r="E860" s="1" t="s">
        <v>51</v>
      </c>
      <c r="F860" s="1" t="s">
        <v>77</v>
      </c>
      <c r="G860" s="1" t="s">
        <v>77</v>
      </c>
      <c r="H860" s="1" t="s">
        <v>77</v>
      </c>
      <c r="I860" s="1" t="s">
        <v>77</v>
      </c>
      <c r="J860" s="1" t="s">
        <v>77</v>
      </c>
      <c r="K860" s="1" t="s">
        <v>77</v>
      </c>
      <c r="L860">
        <v>20220913082558</v>
      </c>
      <c r="M860" s="1" t="s">
        <v>1234</v>
      </c>
      <c r="N860" s="1" t="s">
        <v>140</v>
      </c>
      <c r="O860">
        <v>9</v>
      </c>
      <c r="P860" s="3">
        <v>44817</v>
      </c>
      <c r="Q860">
        <v>37</v>
      </c>
    </row>
    <row r="861" spans="1:17" x14ac:dyDescent="0.3">
      <c r="A861" s="1" t="s">
        <v>1235</v>
      </c>
      <c r="B861" s="2">
        <v>44817.351388888892</v>
      </c>
      <c r="C861" s="1" t="s">
        <v>37</v>
      </c>
      <c r="D861" s="1" t="s">
        <v>47</v>
      </c>
      <c r="E861" s="1" t="s">
        <v>536</v>
      </c>
      <c r="F861" s="1" t="s">
        <v>77</v>
      </c>
      <c r="G861" s="1" t="s">
        <v>77</v>
      </c>
      <c r="H861" s="1" t="s">
        <v>77</v>
      </c>
      <c r="I861" s="1" t="s">
        <v>77</v>
      </c>
      <c r="J861" s="1" t="s">
        <v>77</v>
      </c>
      <c r="K861" s="1" t="s">
        <v>77</v>
      </c>
      <c r="L861">
        <v>20220913082606</v>
      </c>
      <c r="M861" s="1" t="s">
        <v>1236</v>
      </c>
      <c r="N861" s="1" t="s">
        <v>140</v>
      </c>
      <c r="O861">
        <v>9</v>
      </c>
      <c r="P861" s="3">
        <v>44817</v>
      </c>
      <c r="Q861">
        <v>37</v>
      </c>
    </row>
    <row r="862" spans="1:17" x14ac:dyDescent="0.3">
      <c r="A862" s="1" t="s">
        <v>1235</v>
      </c>
      <c r="B862" s="2">
        <v>44817.351388888892</v>
      </c>
      <c r="C862" s="1" t="s">
        <v>37</v>
      </c>
      <c r="D862" s="1" t="s">
        <v>53</v>
      </c>
      <c r="E862" s="1" t="s">
        <v>54</v>
      </c>
      <c r="F862" s="1" t="s">
        <v>77</v>
      </c>
      <c r="G862" s="1" t="s">
        <v>77</v>
      </c>
      <c r="H862" s="1" t="s">
        <v>77</v>
      </c>
      <c r="I862" s="1" t="s">
        <v>77</v>
      </c>
      <c r="J862" s="1" t="s">
        <v>77</v>
      </c>
      <c r="K862" s="1" t="s">
        <v>77</v>
      </c>
      <c r="L862">
        <v>20220913082613</v>
      </c>
      <c r="M862" s="1" t="s">
        <v>1237</v>
      </c>
      <c r="N862" s="1" t="s">
        <v>140</v>
      </c>
      <c r="O862">
        <v>9</v>
      </c>
      <c r="P862" s="3">
        <v>44817</v>
      </c>
      <c r="Q862">
        <v>37</v>
      </c>
    </row>
    <row r="863" spans="1:17" x14ac:dyDescent="0.3">
      <c r="A863" s="1" t="s">
        <v>1235</v>
      </c>
      <c r="B863" s="2">
        <v>44817.351388888892</v>
      </c>
      <c r="C863" s="1" t="s">
        <v>37</v>
      </c>
      <c r="D863" s="1" t="s">
        <v>53</v>
      </c>
      <c r="E863" s="1" t="s">
        <v>56</v>
      </c>
      <c r="F863" s="1" t="s">
        <v>77</v>
      </c>
      <c r="G863" s="1" t="s">
        <v>77</v>
      </c>
      <c r="H863" s="1" t="s">
        <v>77</v>
      </c>
      <c r="I863" s="1" t="s">
        <v>77</v>
      </c>
      <c r="J863" s="1" t="s">
        <v>77</v>
      </c>
      <c r="K863" s="1" t="s">
        <v>77</v>
      </c>
      <c r="L863">
        <v>20220913082621</v>
      </c>
      <c r="M863" s="1" t="s">
        <v>1238</v>
      </c>
      <c r="N863" s="1" t="s">
        <v>140</v>
      </c>
      <c r="O863">
        <v>9</v>
      </c>
      <c r="P863" s="3">
        <v>44817</v>
      </c>
      <c r="Q863">
        <v>37</v>
      </c>
    </row>
    <row r="864" spans="1:17" x14ac:dyDescent="0.3">
      <c r="A864" s="1" t="s">
        <v>1235</v>
      </c>
      <c r="B864" s="2">
        <v>44817.351388888892</v>
      </c>
      <c r="C864" s="1" t="s">
        <v>37</v>
      </c>
      <c r="D864" s="1" t="s">
        <v>19</v>
      </c>
      <c r="E864" s="1" t="s">
        <v>58</v>
      </c>
      <c r="F864" s="1" t="s">
        <v>77</v>
      </c>
      <c r="G864" s="1" t="s">
        <v>77</v>
      </c>
      <c r="H864" s="1" t="s">
        <v>77</v>
      </c>
      <c r="I864" s="1" t="s">
        <v>77</v>
      </c>
      <c r="J864" s="1" t="s">
        <v>77</v>
      </c>
      <c r="K864" s="1" t="s">
        <v>77</v>
      </c>
      <c r="L864">
        <v>20220913082649</v>
      </c>
      <c r="M864" s="1" t="s">
        <v>1239</v>
      </c>
      <c r="N864" s="1" t="s">
        <v>140</v>
      </c>
      <c r="O864">
        <v>9</v>
      </c>
      <c r="P864" s="3">
        <v>44817</v>
      </c>
      <c r="Q864">
        <v>37</v>
      </c>
    </row>
    <row r="865" spans="1:17" x14ac:dyDescent="0.3">
      <c r="A865" s="1" t="s">
        <v>1235</v>
      </c>
      <c r="B865" s="2">
        <v>44817.352083333331</v>
      </c>
      <c r="C865" s="1" t="s">
        <v>37</v>
      </c>
      <c r="D865" s="1" t="s">
        <v>60</v>
      </c>
      <c r="E865" s="1" t="s">
        <v>61</v>
      </c>
      <c r="F865" s="1" t="s">
        <v>77</v>
      </c>
      <c r="G865" s="1" t="s">
        <v>77</v>
      </c>
      <c r="H865" s="1" t="s">
        <v>77</v>
      </c>
      <c r="I865" s="1" t="s">
        <v>77</v>
      </c>
      <c r="J865" s="1" t="s">
        <v>77</v>
      </c>
      <c r="K865" s="1" t="s">
        <v>77</v>
      </c>
      <c r="L865">
        <v>20220913082657</v>
      </c>
      <c r="M865" s="1" t="s">
        <v>1240</v>
      </c>
      <c r="N865" s="1" t="s">
        <v>140</v>
      </c>
      <c r="O865">
        <v>9</v>
      </c>
      <c r="P865" s="3">
        <v>44817</v>
      </c>
      <c r="Q865">
        <v>37</v>
      </c>
    </row>
    <row r="866" spans="1:17" x14ac:dyDescent="0.3">
      <c r="A866" s="1" t="s">
        <v>1241</v>
      </c>
      <c r="B866" s="2">
        <v>44817.352083333331</v>
      </c>
      <c r="C866" s="1" t="s">
        <v>37</v>
      </c>
      <c r="D866" s="1" t="s">
        <v>29</v>
      </c>
      <c r="E866" s="1" t="s">
        <v>30</v>
      </c>
      <c r="F866" s="1" t="s">
        <v>77</v>
      </c>
      <c r="G866" s="1" t="s">
        <v>77</v>
      </c>
      <c r="H866" s="1" t="s">
        <v>77</v>
      </c>
      <c r="I866" s="1" t="s">
        <v>77</v>
      </c>
      <c r="J866" s="1" t="s">
        <v>77</v>
      </c>
      <c r="K866" s="1" t="s">
        <v>77</v>
      </c>
      <c r="L866">
        <v>20220913082704</v>
      </c>
      <c r="M866" s="1" t="s">
        <v>1242</v>
      </c>
      <c r="N866" s="1" t="s">
        <v>140</v>
      </c>
      <c r="O866">
        <v>9</v>
      </c>
      <c r="P866" s="3">
        <v>44817</v>
      </c>
      <c r="Q866">
        <v>37</v>
      </c>
    </row>
    <row r="867" spans="1:17" x14ac:dyDescent="0.3">
      <c r="A867" s="1" t="s">
        <v>1241</v>
      </c>
      <c r="B867" s="2">
        <v>44817.352083333331</v>
      </c>
      <c r="C867" s="1" t="s">
        <v>37</v>
      </c>
      <c r="D867" s="1" t="s">
        <v>47</v>
      </c>
      <c r="E867" s="1" t="s">
        <v>48</v>
      </c>
      <c r="F867" s="1" t="s">
        <v>77</v>
      </c>
      <c r="G867" s="1" t="s">
        <v>77</v>
      </c>
      <c r="H867" s="1" t="s">
        <v>77</v>
      </c>
      <c r="I867" s="1" t="s">
        <v>77</v>
      </c>
      <c r="J867" s="1" t="s">
        <v>20</v>
      </c>
      <c r="K867" s="1" t="s">
        <v>20</v>
      </c>
      <c r="L867">
        <v>20220913082711</v>
      </c>
      <c r="M867" s="1" t="s">
        <v>1243</v>
      </c>
      <c r="N867" s="1" t="s">
        <v>140</v>
      </c>
      <c r="O867">
        <v>9</v>
      </c>
      <c r="P867" s="3">
        <v>44817</v>
      </c>
      <c r="Q867">
        <v>37</v>
      </c>
    </row>
    <row r="868" spans="1:17" x14ac:dyDescent="0.3">
      <c r="A868" s="1" t="s">
        <v>1241</v>
      </c>
      <c r="B868" s="2">
        <v>44817.352083333331</v>
      </c>
      <c r="C868" s="1" t="s">
        <v>37</v>
      </c>
      <c r="D868" s="1" t="s">
        <v>29</v>
      </c>
      <c r="E868" s="1" t="s">
        <v>554</v>
      </c>
      <c r="F868" s="1" t="s">
        <v>77</v>
      </c>
      <c r="G868" s="1" t="s">
        <v>77</v>
      </c>
      <c r="H868" s="1" t="s">
        <v>77</v>
      </c>
      <c r="I868" s="1" t="s">
        <v>77</v>
      </c>
      <c r="J868" s="1" t="s">
        <v>77</v>
      </c>
      <c r="K868" s="1" t="s">
        <v>77</v>
      </c>
      <c r="L868">
        <v>20220913082719</v>
      </c>
      <c r="M868" s="1" t="s">
        <v>1244</v>
      </c>
      <c r="N868" s="1" t="s">
        <v>140</v>
      </c>
      <c r="O868">
        <v>9</v>
      </c>
      <c r="P868" s="3">
        <v>44817</v>
      </c>
      <c r="Q868">
        <v>37</v>
      </c>
    </row>
    <row r="869" spans="1:17" x14ac:dyDescent="0.3">
      <c r="A869" s="1" t="s">
        <v>1241</v>
      </c>
      <c r="B869" s="2">
        <v>44817.352083333331</v>
      </c>
      <c r="C869" s="1" t="s">
        <v>37</v>
      </c>
      <c r="D869" s="1" t="s">
        <v>26</v>
      </c>
      <c r="E869" s="1" t="s">
        <v>27</v>
      </c>
      <c r="F869" s="1" t="s">
        <v>77</v>
      </c>
      <c r="G869" s="1" t="s">
        <v>77</v>
      </c>
      <c r="H869" s="1" t="s">
        <v>77</v>
      </c>
      <c r="I869" s="1" t="s">
        <v>77</v>
      </c>
      <c r="J869" s="1" t="s">
        <v>77</v>
      </c>
      <c r="K869" s="1" t="s">
        <v>77</v>
      </c>
      <c r="L869">
        <v>20220913082727</v>
      </c>
      <c r="M869" s="1" t="s">
        <v>1245</v>
      </c>
      <c r="N869" s="1" t="s">
        <v>140</v>
      </c>
      <c r="O869">
        <v>9</v>
      </c>
      <c r="P869" s="3">
        <v>44817</v>
      </c>
      <c r="Q869">
        <v>37</v>
      </c>
    </row>
    <row r="870" spans="1:17" x14ac:dyDescent="0.3">
      <c r="A870" s="1" t="s">
        <v>1246</v>
      </c>
      <c r="B870" s="2">
        <v>44818.418749999997</v>
      </c>
      <c r="C870" s="1" t="s">
        <v>37</v>
      </c>
      <c r="D870" s="1" t="s">
        <v>26</v>
      </c>
      <c r="E870" s="1" t="s">
        <v>27</v>
      </c>
      <c r="F870" s="1" t="s">
        <v>77</v>
      </c>
      <c r="G870" s="1" t="s">
        <v>77</v>
      </c>
      <c r="H870" s="1" t="s">
        <v>77</v>
      </c>
      <c r="I870" s="1" t="s">
        <v>77</v>
      </c>
      <c r="J870" s="1" t="s">
        <v>77</v>
      </c>
      <c r="K870" s="1" t="s">
        <v>77</v>
      </c>
      <c r="L870">
        <v>20220914100257</v>
      </c>
      <c r="M870" s="1" t="s">
        <v>1247</v>
      </c>
      <c r="N870" s="1" t="s">
        <v>24</v>
      </c>
      <c r="O870">
        <v>9</v>
      </c>
      <c r="P870" s="3">
        <v>44818</v>
      </c>
      <c r="Q870">
        <v>37</v>
      </c>
    </row>
    <row r="871" spans="1:17" x14ac:dyDescent="0.3">
      <c r="A871" s="1" t="s">
        <v>1248</v>
      </c>
      <c r="B871" s="2">
        <v>44818.418749999997</v>
      </c>
      <c r="C871" s="1" t="s">
        <v>37</v>
      </c>
      <c r="D871" s="1" t="s">
        <v>195</v>
      </c>
      <c r="E871" s="1" t="s">
        <v>21</v>
      </c>
      <c r="F871" s="1" t="s">
        <v>77</v>
      </c>
      <c r="G871" s="1" t="s">
        <v>77</v>
      </c>
      <c r="H871" s="1" t="s">
        <v>77</v>
      </c>
      <c r="I871" s="1" t="s">
        <v>77</v>
      </c>
      <c r="J871" s="1" t="s">
        <v>77</v>
      </c>
      <c r="K871" s="1" t="s">
        <v>77</v>
      </c>
      <c r="L871">
        <v>20220914100309</v>
      </c>
      <c r="M871" s="1" t="s">
        <v>1249</v>
      </c>
      <c r="N871" s="1" t="s">
        <v>24</v>
      </c>
      <c r="O871">
        <v>9</v>
      </c>
      <c r="P871" s="3">
        <v>44818</v>
      </c>
      <c r="Q871">
        <v>37</v>
      </c>
    </row>
    <row r="872" spans="1:17" x14ac:dyDescent="0.3">
      <c r="A872" s="1" t="s">
        <v>1248</v>
      </c>
      <c r="B872" s="2">
        <v>44818.418749999997</v>
      </c>
      <c r="C872" s="1" t="s">
        <v>37</v>
      </c>
      <c r="D872" s="1" t="s">
        <v>38</v>
      </c>
      <c r="E872" s="1" t="s">
        <v>39</v>
      </c>
      <c r="F872" s="1" t="s">
        <v>77</v>
      </c>
      <c r="G872" s="1" t="s">
        <v>77</v>
      </c>
      <c r="H872" s="1" t="s">
        <v>77</v>
      </c>
      <c r="I872" s="1" t="s">
        <v>77</v>
      </c>
      <c r="J872" s="1" t="s">
        <v>77</v>
      </c>
      <c r="K872" s="1" t="s">
        <v>77</v>
      </c>
      <c r="L872">
        <v>20220914100317</v>
      </c>
      <c r="M872" s="1" t="s">
        <v>1250</v>
      </c>
      <c r="N872" s="1" t="s">
        <v>24</v>
      </c>
      <c r="O872">
        <v>9</v>
      </c>
      <c r="P872" s="3">
        <v>44818</v>
      </c>
      <c r="Q872">
        <v>37</v>
      </c>
    </row>
    <row r="873" spans="1:17" x14ac:dyDescent="0.3">
      <c r="A873" s="1" t="s">
        <v>1248</v>
      </c>
      <c r="B873" s="2">
        <v>44818.418749999997</v>
      </c>
      <c r="C873" s="1" t="s">
        <v>37</v>
      </c>
      <c r="D873" s="1" t="s">
        <v>41</v>
      </c>
      <c r="E873" s="1" t="s">
        <v>42</v>
      </c>
      <c r="F873" s="1" t="s">
        <v>77</v>
      </c>
      <c r="G873" s="1" t="s">
        <v>77</v>
      </c>
      <c r="H873" s="1" t="s">
        <v>77</v>
      </c>
      <c r="I873" s="1" t="s">
        <v>77</v>
      </c>
      <c r="J873" s="1" t="s">
        <v>77</v>
      </c>
      <c r="K873" s="1" t="s">
        <v>77</v>
      </c>
      <c r="L873">
        <v>20220914100325</v>
      </c>
      <c r="M873" s="1" t="s">
        <v>1251</v>
      </c>
      <c r="N873" s="1" t="s">
        <v>24</v>
      </c>
      <c r="O873">
        <v>9</v>
      </c>
      <c r="P873" s="3">
        <v>44818</v>
      </c>
      <c r="Q873">
        <v>37</v>
      </c>
    </row>
    <row r="874" spans="1:17" x14ac:dyDescent="0.3">
      <c r="A874" s="1" t="s">
        <v>1248</v>
      </c>
      <c r="B874" s="2">
        <v>44818.418749999997</v>
      </c>
      <c r="C874" s="1" t="s">
        <v>37</v>
      </c>
      <c r="D874" s="1" t="s">
        <v>44</v>
      </c>
      <c r="E874" s="1" t="s">
        <v>45</v>
      </c>
      <c r="F874" s="1" t="s">
        <v>77</v>
      </c>
      <c r="G874" s="1" t="s">
        <v>77</v>
      </c>
      <c r="H874" s="1" t="s">
        <v>77</v>
      </c>
      <c r="I874" s="1" t="s">
        <v>77</v>
      </c>
      <c r="J874" s="1" t="s">
        <v>77</v>
      </c>
      <c r="K874" s="1" t="s">
        <v>77</v>
      </c>
      <c r="L874">
        <v>20220914100333</v>
      </c>
      <c r="M874" s="1" t="s">
        <v>1252</v>
      </c>
      <c r="N874" s="1" t="s">
        <v>24</v>
      </c>
      <c r="O874">
        <v>9</v>
      </c>
      <c r="P874" s="3">
        <v>44818</v>
      </c>
      <c r="Q874">
        <v>37</v>
      </c>
    </row>
    <row r="875" spans="1:17" x14ac:dyDescent="0.3">
      <c r="A875" s="1" t="s">
        <v>1248</v>
      </c>
      <c r="B875" s="2">
        <v>44818.418749999997</v>
      </c>
      <c r="C875" s="1" t="s">
        <v>37</v>
      </c>
      <c r="D875" s="1" t="s">
        <v>47</v>
      </c>
      <c r="E875" s="1" t="s">
        <v>51</v>
      </c>
      <c r="F875" s="1" t="s">
        <v>77</v>
      </c>
      <c r="G875" s="1" t="s">
        <v>77</v>
      </c>
      <c r="H875" s="1" t="s">
        <v>77</v>
      </c>
      <c r="I875" s="1" t="s">
        <v>77</v>
      </c>
      <c r="J875" s="1" t="s">
        <v>77</v>
      </c>
      <c r="K875" s="1" t="s">
        <v>77</v>
      </c>
      <c r="L875">
        <v>20220914100345</v>
      </c>
      <c r="M875" s="1" t="s">
        <v>1253</v>
      </c>
      <c r="N875" s="1" t="s">
        <v>24</v>
      </c>
      <c r="O875">
        <v>9</v>
      </c>
      <c r="P875" s="3">
        <v>44818</v>
      </c>
      <c r="Q875">
        <v>37</v>
      </c>
    </row>
    <row r="876" spans="1:17" x14ac:dyDescent="0.3">
      <c r="A876" s="1" t="s">
        <v>1248</v>
      </c>
      <c r="B876" s="2">
        <v>44818.419444444444</v>
      </c>
      <c r="C876" s="1" t="s">
        <v>37</v>
      </c>
      <c r="D876" s="1" t="s">
        <v>47</v>
      </c>
      <c r="E876" s="1" t="s">
        <v>536</v>
      </c>
      <c r="F876" s="1" t="s">
        <v>77</v>
      </c>
      <c r="G876" s="1" t="s">
        <v>77</v>
      </c>
      <c r="H876" s="1" t="s">
        <v>77</v>
      </c>
      <c r="I876" s="1" t="s">
        <v>77</v>
      </c>
      <c r="J876" s="1" t="s">
        <v>77</v>
      </c>
      <c r="K876" s="1" t="s">
        <v>77</v>
      </c>
      <c r="L876">
        <v>20220914100358</v>
      </c>
      <c r="M876" s="1" t="s">
        <v>1254</v>
      </c>
      <c r="N876" s="1" t="s">
        <v>24</v>
      </c>
      <c r="O876">
        <v>9</v>
      </c>
      <c r="P876" s="3">
        <v>44818</v>
      </c>
      <c r="Q876">
        <v>37</v>
      </c>
    </row>
    <row r="877" spans="1:17" x14ac:dyDescent="0.3">
      <c r="A877" s="1" t="s">
        <v>1255</v>
      </c>
      <c r="B877" s="2">
        <v>44818.419444444444</v>
      </c>
      <c r="C877" s="1" t="s">
        <v>37</v>
      </c>
      <c r="D877" s="1" t="s">
        <v>53</v>
      </c>
      <c r="E877" s="1" t="s">
        <v>54</v>
      </c>
      <c r="F877" s="1" t="s">
        <v>77</v>
      </c>
      <c r="G877" s="1" t="s">
        <v>77</v>
      </c>
      <c r="H877" s="1" t="s">
        <v>77</v>
      </c>
      <c r="I877" s="1" t="s">
        <v>77</v>
      </c>
      <c r="J877" s="1" t="s">
        <v>77</v>
      </c>
      <c r="K877" s="1" t="s">
        <v>77</v>
      </c>
      <c r="L877">
        <v>20220914100406</v>
      </c>
      <c r="M877" s="1" t="s">
        <v>1256</v>
      </c>
      <c r="N877" s="1" t="s">
        <v>24</v>
      </c>
      <c r="O877">
        <v>9</v>
      </c>
      <c r="P877" s="3">
        <v>44818</v>
      </c>
      <c r="Q877">
        <v>37</v>
      </c>
    </row>
    <row r="878" spans="1:17" x14ac:dyDescent="0.3">
      <c r="A878" s="1" t="s">
        <v>1255</v>
      </c>
      <c r="B878" s="2">
        <v>44818.419444444444</v>
      </c>
      <c r="C878" s="1" t="s">
        <v>37</v>
      </c>
      <c r="D878" s="1" t="s">
        <v>53</v>
      </c>
      <c r="E878" s="1" t="s">
        <v>56</v>
      </c>
      <c r="F878" s="1" t="s">
        <v>77</v>
      </c>
      <c r="G878" s="1" t="s">
        <v>77</v>
      </c>
      <c r="H878" s="1" t="s">
        <v>77</v>
      </c>
      <c r="I878" s="1" t="s">
        <v>77</v>
      </c>
      <c r="J878" s="1" t="s">
        <v>77</v>
      </c>
      <c r="K878" s="1" t="s">
        <v>77</v>
      </c>
      <c r="L878">
        <v>20220914100416</v>
      </c>
      <c r="M878" s="1" t="s">
        <v>1257</v>
      </c>
      <c r="N878" s="1" t="s">
        <v>24</v>
      </c>
      <c r="O878">
        <v>9</v>
      </c>
      <c r="P878" s="3">
        <v>44818</v>
      </c>
      <c r="Q878">
        <v>37</v>
      </c>
    </row>
    <row r="879" spans="1:17" x14ac:dyDescent="0.3">
      <c r="A879" s="1" t="s">
        <v>1255</v>
      </c>
      <c r="B879" s="2">
        <v>44818.419444444444</v>
      </c>
      <c r="C879" s="1" t="s">
        <v>37</v>
      </c>
      <c r="D879" s="1" t="s">
        <v>19</v>
      </c>
      <c r="E879" s="1" t="s">
        <v>58</v>
      </c>
      <c r="F879" s="1" t="s">
        <v>77</v>
      </c>
      <c r="G879" s="1" t="s">
        <v>77</v>
      </c>
      <c r="H879" s="1" t="s">
        <v>77</v>
      </c>
      <c r="I879" s="1" t="s">
        <v>77</v>
      </c>
      <c r="J879" s="1" t="s">
        <v>77</v>
      </c>
      <c r="K879" s="1" t="s">
        <v>77</v>
      </c>
      <c r="L879">
        <v>20220914100425</v>
      </c>
      <c r="M879" s="1" t="s">
        <v>1258</v>
      </c>
      <c r="N879" s="1" t="s">
        <v>24</v>
      </c>
      <c r="O879">
        <v>9</v>
      </c>
      <c r="P879" s="3">
        <v>44818</v>
      </c>
      <c r="Q879">
        <v>37</v>
      </c>
    </row>
    <row r="880" spans="1:17" x14ac:dyDescent="0.3">
      <c r="A880" s="1" t="s">
        <v>1255</v>
      </c>
      <c r="B880" s="2">
        <v>44818.419444444444</v>
      </c>
      <c r="C880" s="1" t="s">
        <v>37</v>
      </c>
      <c r="D880" s="1" t="s">
        <v>60</v>
      </c>
      <c r="E880" s="1" t="s">
        <v>61</v>
      </c>
      <c r="F880" s="1" t="s">
        <v>77</v>
      </c>
      <c r="G880" s="1" t="s">
        <v>77</v>
      </c>
      <c r="H880" s="1" t="s">
        <v>77</v>
      </c>
      <c r="I880" s="1" t="s">
        <v>77</v>
      </c>
      <c r="J880" s="1" t="s">
        <v>77</v>
      </c>
      <c r="K880" s="1" t="s">
        <v>77</v>
      </c>
      <c r="L880">
        <v>20220914100432</v>
      </c>
      <c r="M880" s="1" t="s">
        <v>1259</v>
      </c>
      <c r="N880" s="1" t="s">
        <v>24</v>
      </c>
      <c r="O880">
        <v>9</v>
      </c>
      <c r="P880" s="3">
        <v>44818</v>
      </c>
      <c r="Q880">
        <v>37</v>
      </c>
    </row>
    <row r="881" spans="1:17" x14ac:dyDescent="0.3">
      <c r="A881" s="1" t="s">
        <v>1255</v>
      </c>
      <c r="B881" s="2">
        <v>44818.420138888891</v>
      </c>
      <c r="C881" s="1" t="s">
        <v>18</v>
      </c>
      <c r="D881" s="1" t="s">
        <v>47</v>
      </c>
      <c r="E881" s="1" t="s">
        <v>77</v>
      </c>
      <c r="F881" s="1" t="s">
        <v>77</v>
      </c>
      <c r="G881" s="1" t="s">
        <v>77</v>
      </c>
      <c r="H881" s="1" t="s">
        <v>77</v>
      </c>
      <c r="I881" s="1" t="s">
        <v>77</v>
      </c>
      <c r="J881" s="1" t="s">
        <v>48</v>
      </c>
      <c r="K881" s="1" t="s">
        <v>1260</v>
      </c>
      <c r="L881">
        <v>20220914100441</v>
      </c>
      <c r="M881" s="1" t="s">
        <v>1261</v>
      </c>
      <c r="N881" s="1" t="s">
        <v>24</v>
      </c>
      <c r="O881">
        <v>9</v>
      </c>
      <c r="P881" s="3">
        <v>44818</v>
      </c>
      <c r="Q881">
        <v>37</v>
      </c>
    </row>
    <row r="882" spans="1:17" x14ac:dyDescent="0.3">
      <c r="A882" s="1" t="s">
        <v>1262</v>
      </c>
      <c r="B882" s="2">
        <v>44818.420138888891</v>
      </c>
      <c r="C882" s="1" t="s">
        <v>18</v>
      </c>
      <c r="D882" s="1" t="s">
        <v>29</v>
      </c>
      <c r="E882" s="1" t="s">
        <v>77</v>
      </c>
      <c r="F882" s="1" t="s">
        <v>77</v>
      </c>
      <c r="G882" s="1" t="s">
        <v>77</v>
      </c>
      <c r="H882" s="1" t="s">
        <v>77</v>
      </c>
      <c r="I882" s="1" t="s">
        <v>77</v>
      </c>
      <c r="J882" s="1" t="s">
        <v>30</v>
      </c>
      <c r="K882" s="1" t="s">
        <v>175</v>
      </c>
      <c r="L882">
        <v>20220914100516</v>
      </c>
      <c r="M882" s="1" t="s">
        <v>1263</v>
      </c>
      <c r="N882" s="1" t="s">
        <v>24</v>
      </c>
      <c r="O882">
        <v>9</v>
      </c>
      <c r="P882" s="3">
        <v>44818</v>
      </c>
      <c r="Q882">
        <v>37</v>
      </c>
    </row>
    <row r="883" spans="1:17" x14ac:dyDescent="0.3">
      <c r="A883" s="1" t="s">
        <v>1262</v>
      </c>
      <c r="B883" s="2">
        <v>44818.420138888891</v>
      </c>
      <c r="C883" s="1" t="s">
        <v>18</v>
      </c>
      <c r="D883" s="1" t="s">
        <v>29</v>
      </c>
      <c r="E883" s="1" t="s">
        <v>77</v>
      </c>
      <c r="F883" s="1" t="s">
        <v>77</v>
      </c>
      <c r="G883" s="1" t="s">
        <v>77</v>
      </c>
      <c r="H883" s="1" t="s">
        <v>77</v>
      </c>
      <c r="I883" s="1" t="s">
        <v>77</v>
      </c>
      <c r="J883" s="1" t="s">
        <v>554</v>
      </c>
      <c r="K883" s="1" t="s">
        <v>175</v>
      </c>
      <c r="L883">
        <v>20220914100528</v>
      </c>
      <c r="M883" s="1" t="s">
        <v>1264</v>
      </c>
      <c r="N883" s="1" t="s">
        <v>24</v>
      </c>
      <c r="O883">
        <v>9</v>
      </c>
      <c r="P883" s="3">
        <v>44818</v>
      </c>
      <c r="Q883">
        <v>37</v>
      </c>
    </row>
    <row r="884" spans="1:17" x14ac:dyDescent="0.3">
      <c r="A884" s="1" t="s">
        <v>1265</v>
      </c>
      <c r="B884" s="2">
        <v>44819.365972222222</v>
      </c>
      <c r="C884" s="1" t="s">
        <v>37</v>
      </c>
      <c r="D884" s="1" t="s">
        <v>26</v>
      </c>
      <c r="E884" s="1" t="s">
        <v>27</v>
      </c>
      <c r="F884" s="1" t="s">
        <v>77</v>
      </c>
      <c r="G884" s="1" t="s">
        <v>77</v>
      </c>
      <c r="H884" s="1" t="s">
        <v>77</v>
      </c>
      <c r="I884" s="1" t="s">
        <v>77</v>
      </c>
      <c r="J884" s="1" t="s">
        <v>77</v>
      </c>
      <c r="K884" s="1" t="s">
        <v>77</v>
      </c>
      <c r="L884">
        <v>20220915084701</v>
      </c>
      <c r="M884" s="1" t="s">
        <v>1266</v>
      </c>
      <c r="N884" s="1" t="s">
        <v>65</v>
      </c>
      <c r="O884">
        <v>9</v>
      </c>
      <c r="P884" s="3">
        <v>44819</v>
      </c>
      <c r="Q884">
        <v>37</v>
      </c>
    </row>
    <row r="885" spans="1:17" x14ac:dyDescent="0.3">
      <c r="A885" s="1" t="s">
        <v>1265</v>
      </c>
      <c r="B885" s="2">
        <v>44819.365972222222</v>
      </c>
      <c r="C885" s="1" t="s">
        <v>37</v>
      </c>
      <c r="D885" s="1" t="s">
        <v>195</v>
      </c>
      <c r="E885" s="1" t="s">
        <v>21</v>
      </c>
      <c r="F885" s="1" t="s">
        <v>77</v>
      </c>
      <c r="G885" s="1" t="s">
        <v>77</v>
      </c>
      <c r="H885" s="1" t="s">
        <v>77</v>
      </c>
      <c r="I885" s="1" t="s">
        <v>77</v>
      </c>
      <c r="J885" s="1" t="s">
        <v>77</v>
      </c>
      <c r="K885" s="1" t="s">
        <v>77</v>
      </c>
      <c r="L885">
        <v>20220915084739</v>
      </c>
      <c r="M885" s="1" t="s">
        <v>1267</v>
      </c>
      <c r="N885" s="1" t="s">
        <v>65</v>
      </c>
      <c r="O885">
        <v>9</v>
      </c>
      <c r="P885" s="3">
        <v>44819</v>
      </c>
      <c r="Q885">
        <v>37</v>
      </c>
    </row>
    <row r="886" spans="1:17" x14ac:dyDescent="0.3">
      <c r="A886" s="1" t="s">
        <v>1265</v>
      </c>
      <c r="B886" s="2">
        <v>44819.365972222222</v>
      </c>
      <c r="C886" s="1" t="s">
        <v>37</v>
      </c>
      <c r="D886" s="1" t="s">
        <v>38</v>
      </c>
      <c r="E886" s="1" t="s">
        <v>39</v>
      </c>
      <c r="F886" s="1" t="s">
        <v>77</v>
      </c>
      <c r="G886" s="1" t="s">
        <v>77</v>
      </c>
      <c r="H886" s="1" t="s">
        <v>77</v>
      </c>
      <c r="I886" s="1" t="s">
        <v>77</v>
      </c>
      <c r="J886" s="1" t="s">
        <v>77</v>
      </c>
      <c r="K886" s="1" t="s">
        <v>77</v>
      </c>
      <c r="L886">
        <v>20220915084750</v>
      </c>
      <c r="M886" s="1" t="s">
        <v>1268</v>
      </c>
      <c r="N886" s="1" t="s">
        <v>65</v>
      </c>
      <c r="O886">
        <v>9</v>
      </c>
      <c r="P886" s="3">
        <v>44819</v>
      </c>
      <c r="Q886">
        <v>37</v>
      </c>
    </row>
    <row r="887" spans="1:17" x14ac:dyDescent="0.3">
      <c r="A887" s="1" t="s">
        <v>1269</v>
      </c>
      <c r="B887" s="2">
        <v>44819.366666666669</v>
      </c>
      <c r="C887" s="1" t="s">
        <v>37</v>
      </c>
      <c r="D887" s="1" t="s">
        <v>41</v>
      </c>
      <c r="E887" s="1" t="s">
        <v>42</v>
      </c>
      <c r="F887" s="1" t="s">
        <v>77</v>
      </c>
      <c r="G887" s="1" t="s">
        <v>77</v>
      </c>
      <c r="H887" s="1" t="s">
        <v>77</v>
      </c>
      <c r="I887" s="1" t="s">
        <v>77</v>
      </c>
      <c r="J887" s="1" t="s">
        <v>77</v>
      </c>
      <c r="K887" s="1" t="s">
        <v>77</v>
      </c>
      <c r="L887">
        <v>20220915084802</v>
      </c>
      <c r="M887" s="1" t="s">
        <v>1270</v>
      </c>
      <c r="N887" s="1" t="s">
        <v>65</v>
      </c>
      <c r="O887">
        <v>9</v>
      </c>
      <c r="P887" s="3">
        <v>44819</v>
      </c>
      <c r="Q887">
        <v>37</v>
      </c>
    </row>
    <row r="888" spans="1:17" x14ac:dyDescent="0.3">
      <c r="A888" s="1" t="s">
        <v>1269</v>
      </c>
      <c r="B888" s="2">
        <v>44819.366666666669</v>
      </c>
      <c r="C888" s="1" t="s">
        <v>37</v>
      </c>
      <c r="D888" s="1" t="s">
        <v>44</v>
      </c>
      <c r="E888" s="1" t="s">
        <v>45</v>
      </c>
      <c r="F888" s="1" t="s">
        <v>77</v>
      </c>
      <c r="G888" s="1" t="s">
        <v>77</v>
      </c>
      <c r="H888" s="1" t="s">
        <v>77</v>
      </c>
      <c r="I888" s="1" t="s">
        <v>77</v>
      </c>
      <c r="J888" s="1" t="s">
        <v>77</v>
      </c>
      <c r="K888" s="1" t="s">
        <v>77</v>
      </c>
      <c r="L888">
        <v>20220915084811</v>
      </c>
      <c r="M888" s="1" t="s">
        <v>1271</v>
      </c>
      <c r="N888" s="1" t="s">
        <v>65</v>
      </c>
      <c r="O888">
        <v>9</v>
      </c>
      <c r="P888" s="3">
        <v>44819</v>
      </c>
      <c r="Q888">
        <v>37</v>
      </c>
    </row>
    <row r="889" spans="1:17" x14ac:dyDescent="0.3">
      <c r="A889" s="1" t="s">
        <v>1269</v>
      </c>
      <c r="B889" s="2">
        <v>44819.366666666669</v>
      </c>
      <c r="C889" s="1" t="s">
        <v>37</v>
      </c>
      <c r="D889" s="1" t="s">
        <v>47</v>
      </c>
      <c r="E889" s="1" t="s">
        <v>51</v>
      </c>
      <c r="F889" s="1" t="s">
        <v>77</v>
      </c>
      <c r="G889" s="1" t="s">
        <v>77</v>
      </c>
      <c r="H889" s="1" t="s">
        <v>77</v>
      </c>
      <c r="I889" s="1" t="s">
        <v>77</v>
      </c>
      <c r="J889" s="1" t="s">
        <v>77</v>
      </c>
      <c r="K889" s="1" t="s">
        <v>77</v>
      </c>
      <c r="L889">
        <v>20220915084818</v>
      </c>
      <c r="M889" s="1" t="s">
        <v>1272</v>
      </c>
      <c r="N889" s="1" t="s">
        <v>65</v>
      </c>
      <c r="O889">
        <v>9</v>
      </c>
      <c r="P889" s="3">
        <v>44819</v>
      </c>
      <c r="Q889">
        <v>37</v>
      </c>
    </row>
    <row r="890" spans="1:17" x14ac:dyDescent="0.3">
      <c r="A890" s="1" t="s">
        <v>1269</v>
      </c>
      <c r="B890" s="2">
        <v>44819.366666666669</v>
      </c>
      <c r="C890" s="1" t="s">
        <v>37</v>
      </c>
      <c r="D890" s="1" t="s">
        <v>47</v>
      </c>
      <c r="E890" s="1" t="s">
        <v>536</v>
      </c>
      <c r="F890" s="1" t="s">
        <v>77</v>
      </c>
      <c r="G890" s="1" t="s">
        <v>77</v>
      </c>
      <c r="H890" s="1" t="s">
        <v>77</v>
      </c>
      <c r="I890" s="1" t="s">
        <v>77</v>
      </c>
      <c r="J890" s="1" t="s">
        <v>77</v>
      </c>
      <c r="K890" s="1" t="s">
        <v>77</v>
      </c>
      <c r="L890">
        <v>20220915084827</v>
      </c>
      <c r="M890" s="1" t="s">
        <v>1273</v>
      </c>
      <c r="N890" s="1" t="s">
        <v>65</v>
      </c>
      <c r="O890">
        <v>9</v>
      </c>
      <c r="P890" s="3">
        <v>44819</v>
      </c>
      <c r="Q890">
        <v>37</v>
      </c>
    </row>
    <row r="891" spans="1:17" x14ac:dyDescent="0.3">
      <c r="A891" s="1" t="s">
        <v>1269</v>
      </c>
      <c r="B891" s="2">
        <v>44819.366666666669</v>
      </c>
      <c r="C891" s="1" t="s">
        <v>37</v>
      </c>
      <c r="D891" s="1" t="s">
        <v>53</v>
      </c>
      <c r="E891" s="1" t="s">
        <v>54</v>
      </c>
      <c r="F891" s="1" t="s">
        <v>77</v>
      </c>
      <c r="G891" s="1" t="s">
        <v>77</v>
      </c>
      <c r="H891" s="1" t="s">
        <v>77</v>
      </c>
      <c r="I891" s="1" t="s">
        <v>77</v>
      </c>
      <c r="J891" s="1" t="s">
        <v>77</v>
      </c>
      <c r="K891" s="1" t="s">
        <v>77</v>
      </c>
      <c r="L891">
        <v>20220915084834</v>
      </c>
      <c r="M891" s="1" t="s">
        <v>1274</v>
      </c>
      <c r="N891" s="1" t="s">
        <v>65</v>
      </c>
      <c r="O891">
        <v>9</v>
      </c>
      <c r="P891" s="3">
        <v>44819</v>
      </c>
      <c r="Q891">
        <v>37</v>
      </c>
    </row>
    <row r="892" spans="1:17" x14ac:dyDescent="0.3">
      <c r="A892" s="1" t="s">
        <v>1269</v>
      </c>
      <c r="B892" s="2">
        <v>44819.366666666669</v>
      </c>
      <c r="C892" s="1" t="s">
        <v>37</v>
      </c>
      <c r="D892" s="1" t="s">
        <v>53</v>
      </c>
      <c r="E892" s="1" t="s">
        <v>56</v>
      </c>
      <c r="F892" s="1" t="s">
        <v>77</v>
      </c>
      <c r="G892" s="1" t="s">
        <v>77</v>
      </c>
      <c r="H892" s="1" t="s">
        <v>77</v>
      </c>
      <c r="I892" s="1" t="s">
        <v>77</v>
      </c>
      <c r="J892" s="1" t="s">
        <v>77</v>
      </c>
      <c r="K892" s="1" t="s">
        <v>77</v>
      </c>
      <c r="L892">
        <v>20220915084841</v>
      </c>
      <c r="M892" s="1" t="s">
        <v>1275</v>
      </c>
      <c r="N892" s="1" t="s">
        <v>65</v>
      </c>
      <c r="O892">
        <v>9</v>
      </c>
      <c r="P892" s="3">
        <v>44819</v>
      </c>
      <c r="Q892">
        <v>37</v>
      </c>
    </row>
    <row r="893" spans="1:17" x14ac:dyDescent="0.3">
      <c r="A893" s="1" t="s">
        <v>1269</v>
      </c>
      <c r="B893" s="2">
        <v>44819.366666666669</v>
      </c>
      <c r="C893" s="1" t="s">
        <v>37</v>
      </c>
      <c r="D893" s="1" t="s">
        <v>19</v>
      </c>
      <c r="E893" s="1" t="s">
        <v>58</v>
      </c>
      <c r="F893" s="1" t="s">
        <v>77</v>
      </c>
      <c r="G893" s="1" t="s">
        <v>77</v>
      </c>
      <c r="H893" s="1" t="s">
        <v>77</v>
      </c>
      <c r="I893" s="1" t="s">
        <v>77</v>
      </c>
      <c r="J893" s="1" t="s">
        <v>77</v>
      </c>
      <c r="K893" s="1" t="s">
        <v>77</v>
      </c>
      <c r="L893">
        <v>20220915084850</v>
      </c>
      <c r="M893" s="1" t="s">
        <v>1276</v>
      </c>
      <c r="N893" s="1" t="s">
        <v>65</v>
      </c>
      <c r="O893">
        <v>9</v>
      </c>
      <c r="P893" s="3">
        <v>44819</v>
      </c>
      <c r="Q893">
        <v>37</v>
      </c>
    </row>
    <row r="894" spans="1:17" x14ac:dyDescent="0.3">
      <c r="A894" s="1" t="s">
        <v>1269</v>
      </c>
      <c r="B894" s="2">
        <v>44819.367361111108</v>
      </c>
      <c r="C894" s="1" t="s">
        <v>37</v>
      </c>
      <c r="D894" s="1" t="s">
        <v>60</v>
      </c>
      <c r="E894" s="1" t="s">
        <v>61</v>
      </c>
      <c r="F894" s="1" t="s">
        <v>77</v>
      </c>
      <c r="G894" s="1" t="s">
        <v>77</v>
      </c>
      <c r="H894" s="1" t="s">
        <v>77</v>
      </c>
      <c r="I894" s="1" t="s">
        <v>77</v>
      </c>
      <c r="J894" s="1" t="s">
        <v>77</v>
      </c>
      <c r="K894" s="1" t="s">
        <v>77</v>
      </c>
      <c r="L894">
        <v>20220915084857</v>
      </c>
      <c r="M894" s="1" t="s">
        <v>1277</v>
      </c>
      <c r="N894" s="1" t="s">
        <v>65</v>
      </c>
      <c r="O894">
        <v>9</v>
      </c>
      <c r="P894" s="3">
        <v>44819</v>
      </c>
      <c r="Q894">
        <v>37</v>
      </c>
    </row>
    <row r="895" spans="1:17" x14ac:dyDescent="0.3">
      <c r="A895" s="1" t="s">
        <v>1278</v>
      </c>
      <c r="B895" s="2">
        <v>44819.367361111108</v>
      </c>
      <c r="C895" s="1" t="s">
        <v>37</v>
      </c>
      <c r="D895" s="1" t="s">
        <v>29</v>
      </c>
      <c r="E895" s="1" t="s">
        <v>30</v>
      </c>
      <c r="F895" s="1" t="s">
        <v>77</v>
      </c>
      <c r="G895" s="1" t="s">
        <v>77</v>
      </c>
      <c r="H895" s="1" t="s">
        <v>77</v>
      </c>
      <c r="I895" s="1" t="s">
        <v>77</v>
      </c>
      <c r="J895" s="1" t="s">
        <v>77</v>
      </c>
      <c r="K895" s="1" t="s">
        <v>77</v>
      </c>
      <c r="L895">
        <v>20220915084905</v>
      </c>
      <c r="M895" s="1" t="s">
        <v>1279</v>
      </c>
      <c r="N895" s="1" t="s">
        <v>65</v>
      </c>
      <c r="O895">
        <v>9</v>
      </c>
      <c r="P895" s="3">
        <v>44819</v>
      </c>
      <c r="Q895">
        <v>37</v>
      </c>
    </row>
    <row r="896" spans="1:17" x14ac:dyDescent="0.3">
      <c r="A896" s="1" t="s">
        <v>1278</v>
      </c>
      <c r="B896" s="2">
        <v>44819.367361111108</v>
      </c>
      <c r="C896" s="1" t="s">
        <v>37</v>
      </c>
      <c r="D896" s="1" t="s">
        <v>29</v>
      </c>
      <c r="E896" s="1" t="s">
        <v>554</v>
      </c>
      <c r="F896" s="1" t="s">
        <v>77</v>
      </c>
      <c r="G896" s="1" t="s">
        <v>77</v>
      </c>
      <c r="H896" s="1" t="s">
        <v>77</v>
      </c>
      <c r="I896" s="1" t="s">
        <v>77</v>
      </c>
      <c r="J896" s="1" t="s">
        <v>77</v>
      </c>
      <c r="K896" s="1" t="s">
        <v>77</v>
      </c>
      <c r="L896">
        <v>20220915084930</v>
      </c>
      <c r="M896" s="1" t="s">
        <v>1280</v>
      </c>
      <c r="N896" s="1" t="s">
        <v>65</v>
      </c>
      <c r="O896">
        <v>9</v>
      </c>
      <c r="P896" s="3">
        <v>44819</v>
      </c>
      <c r="Q896">
        <v>37</v>
      </c>
    </row>
    <row r="897" spans="1:17" x14ac:dyDescent="0.3">
      <c r="A897" s="1" t="s">
        <v>1278</v>
      </c>
      <c r="B897" s="2">
        <v>44819.368055555555</v>
      </c>
      <c r="C897" s="1" t="s">
        <v>37</v>
      </c>
      <c r="D897" s="1" t="s">
        <v>47</v>
      </c>
      <c r="E897" s="1" t="s">
        <v>48</v>
      </c>
      <c r="F897" s="1" t="s">
        <v>77</v>
      </c>
      <c r="G897" s="1" t="s">
        <v>77</v>
      </c>
      <c r="H897" s="1" t="s">
        <v>77</v>
      </c>
      <c r="I897" s="1" t="s">
        <v>77</v>
      </c>
      <c r="J897" s="1" t="s">
        <v>77</v>
      </c>
      <c r="K897" s="1" t="s">
        <v>77</v>
      </c>
      <c r="L897">
        <v>20220915084957</v>
      </c>
      <c r="M897" s="1" t="s">
        <v>1281</v>
      </c>
      <c r="N897" s="1" t="s">
        <v>65</v>
      </c>
      <c r="O897">
        <v>9</v>
      </c>
      <c r="P897" s="3">
        <v>44819</v>
      </c>
      <c r="Q897">
        <v>37</v>
      </c>
    </row>
    <row r="898" spans="1:17" x14ac:dyDescent="0.3">
      <c r="A898" s="1" t="s">
        <v>1282</v>
      </c>
      <c r="B898" s="2">
        <v>44820.372916666667</v>
      </c>
      <c r="C898" s="1" t="s">
        <v>37</v>
      </c>
      <c r="D898" s="1" t="s">
        <v>26</v>
      </c>
      <c r="E898" s="1" t="s">
        <v>27</v>
      </c>
      <c r="F898" s="1" t="s">
        <v>77</v>
      </c>
      <c r="G898" s="1" t="s">
        <v>77</v>
      </c>
      <c r="H898" s="1" t="s">
        <v>77</v>
      </c>
      <c r="I898" s="1" t="s">
        <v>77</v>
      </c>
      <c r="J898" s="1" t="s">
        <v>77</v>
      </c>
      <c r="K898" s="1" t="s">
        <v>77</v>
      </c>
      <c r="L898">
        <v>20220916085728</v>
      </c>
      <c r="M898" s="1" t="s">
        <v>1283</v>
      </c>
      <c r="N898" s="1" t="s">
        <v>84</v>
      </c>
      <c r="O898">
        <v>9</v>
      </c>
      <c r="P898" s="3">
        <v>44820</v>
      </c>
      <c r="Q898">
        <v>37</v>
      </c>
    </row>
    <row r="899" spans="1:17" x14ac:dyDescent="0.3">
      <c r="A899" s="1" t="s">
        <v>1282</v>
      </c>
      <c r="B899" s="2">
        <v>44820.372916666667</v>
      </c>
      <c r="C899" s="1" t="s">
        <v>37</v>
      </c>
      <c r="D899" s="1" t="s">
        <v>195</v>
      </c>
      <c r="E899" s="1" t="s">
        <v>21</v>
      </c>
      <c r="F899" s="1" t="s">
        <v>77</v>
      </c>
      <c r="G899" s="1" t="s">
        <v>77</v>
      </c>
      <c r="H899" s="1" t="s">
        <v>77</v>
      </c>
      <c r="I899" s="1" t="s">
        <v>77</v>
      </c>
      <c r="J899" s="1" t="s">
        <v>77</v>
      </c>
      <c r="K899" s="1" t="s">
        <v>77</v>
      </c>
      <c r="L899">
        <v>20220916085739</v>
      </c>
      <c r="M899" s="1" t="s">
        <v>1284</v>
      </c>
      <c r="N899" s="1" t="s">
        <v>84</v>
      </c>
      <c r="O899">
        <v>9</v>
      </c>
      <c r="P899" s="3">
        <v>44820</v>
      </c>
      <c r="Q899">
        <v>37</v>
      </c>
    </row>
    <row r="900" spans="1:17" x14ac:dyDescent="0.3">
      <c r="A900" s="1" t="s">
        <v>1282</v>
      </c>
      <c r="B900" s="2">
        <v>44820.372916666667</v>
      </c>
      <c r="C900" s="1" t="s">
        <v>37</v>
      </c>
      <c r="D900" s="1" t="s">
        <v>38</v>
      </c>
      <c r="E900" s="1" t="s">
        <v>39</v>
      </c>
      <c r="F900" s="1" t="s">
        <v>77</v>
      </c>
      <c r="G900" s="1" t="s">
        <v>77</v>
      </c>
      <c r="H900" s="1" t="s">
        <v>77</v>
      </c>
      <c r="I900" s="1" t="s">
        <v>77</v>
      </c>
      <c r="J900" s="1" t="s">
        <v>77</v>
      </c>
      <c r="K900" s="1" t="s">
        <v>77</v>
      </c>
      <c r="L900">
        <v>20220916085748</v>
      </c>
      <c r="M900" s="1" t="s">
        <v>1285</v>
      </c>
      <c r="N900" s="1" t="s">
        <v>84</v>
      </c>
      <c r="O900">
        <v>9</v>
      </c>
      <c r="P900" s="3">
        <v>44820</v>
      </c>
      <c r="Q900">
        <v>37</v>
      </c>
    </row>
    <row r="901" spans="1:17" x14ac:dyDescent="0.3">
      <c r="A901" s="1" t="s">
        <v>1282</v>
      </c>
      <c r="B901" s="2">
        <v>44820.373611111114</v>
      </c>
      <c r="C901" s="1" t="s">
        <v>37</v>
      </c>
      <c r="D901" s="1" t="s">
        <v>41</v>
      </c>
      <c r="E901" s="1" t="s">
        <v>42</v>
      </c>
      <c r="F901" s="1" t="s">
        <v>77</v>
      </c>
      <c r="G901" s="1" t="s">
        <v>77</v>
      </c>
      <c r="H901" s="1" t="s">
        <v>77</v>
      </c>
      <c r="I901" s="1" t="s">
        <v>77</v>
      </c>
      <c r="J901" s="1" t="s">
        <v>77</v>
      </c>
      <c r="K901" s="1" t="s">
        <v>77</v>
      </c>
      <c r="L901">
        <v>20220916085756</v>
      </c>
      <c r="M901" s="1" t="s">
        <v>1286</v>
      </c>
      <c r="N901" s="1" t="s">
        <v>84</v>
      </c>
      <c r="O901">
        <v>9</v>
      </c>
      <c r="P901" s="3">
        <v>44820</v>
      </c>
      <c r="Q901">
        <v>37</v>
      </c>
    </row>
    <row r="902" spans="1:17" x14ac:dyDescent="0.3">
      <c r="A902" s="1" t="s">
        <v>1287</v>
      </c>
      <c r="B902" s="2">
        <v>44820.373611111114</v>
      </c>
      <c r="C902" s="1" t="s">
        <v>37</v>
      </c>
      <c r="D902" s="1" t="s">
        <v>44</v>
      </c>
      <c r="E902" s="1" t="s">
        <v>45</v>
      </c>
      <c r="F902" s="1" t="s">
        <v>77</v>
      </c>
      <c r="G902" s="1" t="s">
        <v>77</v>
      </c>
      <c r="H902" s="1" t="s">
        <v>77</v>
      </c>
      <c r="I902" s="1" t="s">
        <v>77</v>
      </c>
      <c r="J902" s="1" t="s">
        <v>77</v>
      </c>
      <c r="K902" s="1" t="s">
        <v>77</v>
      </c>
      <c r="L902">
        <v>20220916085802</v>
      </c>
      <c r="M902" s="1" t="s">
        <v>1288</v>
      </c>
      <c r="N902" s="1" t="s">
        <v>84</v>
      </c>
      <c r="O902">
        <v>9</v>
      </c>
      <c r="P902" s="3">
        <v>44820</v>
      </c>
      <c r="Q902">
        <v>37</v>
      </c>
    </row>
    <row r="903" spans="1:17" x14ac:dyDescent="0.3">
      <c r="A903" s="1" t="s">
        <v>1287</v>
      </c>
      <c r="B903" s="2">
        <v>44820.373611111114</v>
      </c>
      <c r="C903" s="1" t="s">
        <v>37</v>
      </c>
      <c r="D903" s="1" t="s">
        <v>47</v>
      </c>
      <c r="E903" s="1" t="s">
        <v>51</v>
      </c>
      <c r="F903" s="1" t="s">
        <v>77</v>
      </c>
      <c r="G903" s="1" t="s">
        <v>77</v>
      </c>
      <c r="H903" s="1" t="s">
        <v>77</v>
      </c>
      <c r="I903" s="1" t="s">
        <v>77</v>
      </c>
      <c r="J903" s="1" t="s">
        <v>77</v>
      </c>
      <c r="K903" s="1" t="s">
        <v>77</v>
      </c>
      <c r="L903">
        <v>20220916085808</v>
      </c>
      <c r="M903" s="1" t="s">
        <v>1289</v>
      </c>
      <c r="N903" s="1" t="s">
        <v>84</v>
      </c>
      <c r="O903">
        <v>9</v>
      </c>
      <c r="P903" s="3">
        <v>44820</v>
      </c>
      <c r="Q903">
        <v>37</v>
      </c>
    </row>
    <row r="904" spans="1:17" x14ac:dyDescent="0.3">
      <c r="A904" s="1" t="s">
        <v>1287</v>
      </c>
      <c r="B904" s="2">
        <v>44820.373611111114</v>
      </c>
      <c r="C904" s="1" t="s">
        <v>37</v>
      </c>
      <c r="D904" s="1" t="s">
        <v>47</v>
      </c>
      <c r="E904" s="1" t="s">
        <v>536</v>
      </c>
      <c r="F904" s="1" t="s">
        <v>77</v>
      </c>
      <c r="G904" s="1" t="s">
        <v>77</v>
      </c>
      <c r="H904" s="1" t="s">
        <v>77</v>
      </c>
      <c r="I904" s="1" t="s">
        <v>77</v>
      </c>
      <c r="J904" s="1" t="s">
        <v>77</v>
      </c>
      <c r="K904" s="1" t="s">
        <v>77</v>
      </c>
      <c r="L904">
        <v>20220916085817</v>
      </c>
      <c r="M904" s="1" t="s">
        <v>1290</v>
      </c>
      <c r="N904" s="1" t="s">
        <v>84</v>
      </c>
      <c r="O904">
        <v>9</v>
      </c>
      <c r="P904" s="3">
        <v>44820</v>
      </c>
      <c r="Q904">
        <v>37</v>
      </c>
    </row>
    <row r="905" spans="1:17" x14ac:dyDescent="0.3">
      <c r="A905" s="1" t="s">
        <v>1287</v>
      </c>
      <c r="B905" s="2">
        <v>44820.373611111114</v>
      </c>
      <c r="C905" s="1" t="s">
        <v>37</v>
      </c>
      <c r="D905" s="1" t="s">
        <v>53</v>
      </c>
      <c r="E905" s="1" t="s">
        <v>54</v>
      </c>
      <c r="F905" s="1" t="s">
        <v>77</v>
      </c>
      <c r="G905" s="1" t="s">
        <v>77</v>
      </c>
      <c r="H905" s="1" t="s">
        <v>77</v>
      </c>
      <c r="I905" s="1" t="s">
        <v>77</v>
      </c>
      <c r="J905" s="1" t="s">
        <v>77</v>
      </c>
      <c r="K905" s="1" t="s">
        <v>77</v>
      </c>
      <c r="L905">
        <v>20220916085832</v>
      </c>
      <c r="M905" s="1" t="s">
        <v>1291</v>
      </c>
      <c r="N905" s="1" t="s">
        <v>84</v>
      </c>
      <c r="O905">
        <v>9</v>
      </c>
      <c r="P905" s="3">
        <v>44820</v>
      </c>
      <c r="Q905">
        <v>37</v>
      </c>
    </row>
    <row r="906" spans="1:17" x14ac:dyDescent="0.3">
      <c r="A906" s="1" t="s">
        <v>1287</v>
      </c>
      <c r="B906" s="2">
        <v>44820.373611111114</v>
      </c>
      <c r="C906" s="1" t="s">
        <v>37</v>
      </c>
      <c r="D906" s="1" t="s">
        <v>53</v>
      </c>
      <c r="E906" s="1" t="s">
        <v>56</v>
      </c>
      <c r="F906" s="1" t="s">
        <v>77</v>
      </c>
      <c r="G906" s="1" t="s">
        <v>77</v>
      </c>
      <c r="H906" s="1" t="s">
        <v>77</v>
      </c>
      <c r="I906" s="1" t="s">
        <v>77</v>
      </c>
      <c r="J906" s="1" t="s">
        <v>77</v>
      </c>
      <c r="K906" s="1" t="s">
        <v>77</v>
      </c>
      <c r="L906">
        <v>20220916085838</v>
      </c>
      <c r="M906" s="1" t="s">
        <v>1292</v>
      </c>
      <c r="N906" s="1" t="s">
        <v>84</v>
      </c>
      <c r="O906">
        <v>9</v>
      </c>
      <c r="P906" s="3">
        <v>44820</v>
      </c>
      <c r="Q906">
        <v>37</v>
      </c>
    </row>
    <row r="907" spans="1:17" x14ac:dyDescent="0.3">
      <c r="A907" s="1" t="s">
        <v>1287</v>
      </c>
      <c r="B907" s="2">
        <v>44820.373611111114</v>
      </c>
      <c r="C907" s="1" t="s">
        <v>37</v>
      </c>
      <c r="D907" s="1" t="s">
        <v>19</v>
      </c>
      <c r="E907" s="1" t="s">
        <v>58</v>
      </c>
      <c r="F907" s="1" t="s">
        <v>77</v>
      </c>
      <c r="G907" s="1" t="s">
        <v>77</v>
      </c>
      <c r="H907" s="1" t="s">
        <v>77</v>
      </c>
      <c r="I907" s="1" t="s">
        <v>77</v>
      </c>
      <c r="J907" s="1" t="s">
        <v>77</v>
      </c>
      <c r="K907" s="1" t="s">
        <v>77</v>
      </c>
      <c r="L907">
        <v>20220916085845</v>
      </c>
      <c r="M907" s="1" t="s">
        <v>1293</v>
      </c>
      <c r="N907" s="1" t="s">
        <v>84</v>
      </c>
      <c r="O907">
        <v>9</v>
      </c>
      <c r="P907" s="3">
        <v>44820</v>
      </c>
      <c r="Q907">
        <v>37</v>
      </c>
    </row>
    <row r="908" spans="1:17" x14ac:dyDescent="0.3">
      <c r="A908" s="1" t="s">
        <v>1287</v>
      </c>
      <c r="B908" s="2">
        <v>44820.373611111114</v>
      </c>
      <c r="C908" s="1" t="s">
        <v>37</v>
      </c>
      <c r="D908" s="1" t="s">
        <v>60</v>
      </c>
      <c r="E908" s="1" t="s">
        <v>61</v>
      </c>
      <c r="F908" s="1" t="s">
        <v>77</v>
      </c>
      <c r="G908" s="1" t="s">
        <v>77</v>
      </c>
      <c r="H908" s="1" t="s">
        <v>77</v>
      </c>
      <c r="I908" s="1" t="s">
        <v>77</v>
      </c>
      <c r="J908" s="1" t="s">
        <v>77</v>
      </c>
      <c r="K908" s="1" t="s">
        <v>77</v>
      </c>
      <c r="L908">
        <v>20220916085853</v>
      </c>
      <c r="M908" s="1" t="s">
        <v>1294</v>
      </c>
      <c r="N908" s="1" t="s">
        <v>84</v>
      </c>
      <c r="O908">
        <v>9</v>
      </c>
      <c r="P908" s="3">
        <v>44820</v>
      </c>
      <c r="Q908">
        <v>37</v>
      </c>
    </row>
    <row r="909" spans="1:17" x14ac:dyDescent="0.3">
      <c r="A909" s="1" t="s">
        <v>1295</v>
      </c>
      <c r="B909" s="2">
        <v>44820.374305555553</v>
      </c>
      <c r="C909" s="1" t="s">
        <v>37</v>
      </c>
      <c r="D909" s="1" t="s">
        <v>29</v>
      </c>
      <c r="E909" s="1" t="s">
        <v>30</v>
      </c>
      <c r="F909" s="1" t="s">
        <v>77</v>
      </c>
      <c r="G909" s="1" t="s">
        <v>77</v>
      </c>
      <c r="H909" s="1" t="s">
        <v>77</v>
      </c>
      <c r="I909" s="1" t="s">
        <v>77</v>
      </c>
      <c r="J909" s="1" t="s">
        <v>77</v>
      </c>
      <c r="K909" s="1" t="s">
        <v>77</v>
      </c>
      <c r="L909">
        <v>20220916085900</v>
      </c>
      <c r="M909" s="1" t="s">
        <v>1296</v>
      </c>
      <c r="N909" s="1" t="s">
        <v>84</v>
      </c>
      <c r="O909">
        <v>9</v>
      </c>
      <c r="P909" s="3">
        <v>44820</v>
      </c>
      <c r="Q909">
        <v>37</v>
      </c>
    </row>
    <row r="910" spans="1:17" x14ac:dyDescent="0.3">
      <c r="A910" s="1" t="s">
        <v>1295</v>
      </c>
      <c r="B910" s="2">
        <v>44820.374305555553</v>
      </c>
      <c r="C910" s="1" t="s">
        <v>18</v>
      </c>
      <c r="D910" s="1" t="s">
        <v>47</v>
      </c>
      <c r="E910" s="1" t="s">
        <v>77</v>
      </c>
      <c r="F910" s="1" t="s">
        <v>77</v>
      </c>
      <c r="G910" s="1" t="s">
        <v>77</v>
      </c>
      <c r="H910" s="1" t="s">
        <v>77</v>
      </c>
      <c r="I910" s="1" t="s">
        <v>77</v>
      </c>
      <c r="J910" s="1" t="s">
        <v>20</v>
      </c>
      <c r="K910" s="1" t="s">
        <v>1297</v>
      </c>
      <c r="L910">
        <v>20220916085909</v>
      </c>
      <c r="M910" s="1" t="s">
        <v>1298</v>
      </c>
      <c r="N910" s="1" t="s">
        <v>84</v>
      </c>
      <c r="O910">
        <v>9</v>
      </c>
      <c r="P910" s="3">
        <v>44820</v>
      </c>
      <c r="Q910">
        <v>37</v>
      </c>
    </row>
    <row r="911" spans="1:17" x14ac:dyDescent="0.3">
      <c r="A911" s="1" t="s">
        <v>1295</v>
      </c>
      <c r="B911" s="2">
        <v>44820.374305555553</v>
      </c>
      <c r="C911" s="1" t="s">
        <v>18</v>
      </c>
      <c r="D911" s="1" t="s">
        <v>29</v>
      </c>
      <c r="E911" s="1" t="s">
        <v>77</v>
      </c>
      <c r="F911" s="1" t="s">
        <v>77</v>
      </c>
      <c r="G911" s="1" t="s">
        <v>77</v>
      </c>
      <c r="H911" s="1" t="s">
        <v>77</v>
      </c>
      <c r="I911" s="1" t="s">
        <v>77</v>
      </c>
      <c r="J911" s="1" t="s">
        <v>554</v>
      </c>
      <c r="K911" s="1" t="s">
        <v>171</v>
      </c>
      <c r="L911">
        <v>20220916085929</v>
      </c>
      <c r="M911" s="1" t="s">
        <v>1299</v>
      </c>
      <c r="N911" s="1" t="s">
        <v>84</v>
      </c>
      <c r="O911">
        <v>9</v>
      </c>
      <c r="P911" s="3">
        <v>44820</v>
      </c>
      <c r="Q911">
        <v>37</v>
      </c>
    </row>
    <row r="912" spans="1:17" x14ac:dyDescent="0.3">
      <c r="A912" s="1" t="s">
        <v>1300</v>
      </c>
      <c r="B912" s="2">
        <v>44821.375694444447</v>
      </c>
      <c r="C912" s="1" t="s">
        <v>37</v>
      </c>
      <c r="D912" s="1" t="s">
        <v>26</v>
      </c>
      <c r="E912" s="1" t="s">
        <v>27</v>
      </c>
      <c r="F912" s="1" t="s">
        <v>20</v>
      </c>
      <c r="G912" s="1" t="s">
        <v>20</v>
      </c>
      <c r="H912" s="1" t="s">
        <v>20</v>
      </c>
      <c r="I912" s="1" t="s">
        <v>20</v>
      </c>
      <c r="J912" s="1" t="s">
        <v>20</v>
      </c>
      <c r="K912" s="1" t="s">
        <v>20</v>
      </c>
      <c r="L912">
        <v>20220917090128</v>
      </c>
      <c r="M912" s="1" t="s">
        <v>1301</v>
      </c>
      <c r="N912" s="1" t="s">
        <v>101</v>
      </c>
      <c r="O912">
        <v>9</v>
      </c>
      <c r="P912" s="3">
        <v>44821</v>
      </c>
      <c r="Q912">
        <v>37</v>
      </c>
    </row>
    <row r="913" spans="1:17" x14ac:dyDescent="0.3">
      <c r="A913" s="1" t="s">
        <v>1300</v>
      </c>
      <c r="B913" s="2">
        <v>44821.375694444447</v>
      </c>
      <c r="C913" s="1" t="s">
        <v>37</v>
      </c>
      <c r="D913" s="1" t="s">
        <v>195</v>
      </c>
      <c r="E913" s="1" t="s">
        <v>21</v>
      </c>
      <c r="F913" s="1" t="s">
        <v>20</v>
      </c>
      <c r="G913" s="1" t="s">
        <v>20</v>
      </c>
      <c r="H913" s="1" t="s">
        <v>20</v>
      </c>
      <c r="I913" s="1" t="s">
        <v>20</v>
      </c>
      <c r="J913" s="1" t="s">
        <v>20</v>
      </c>
      <c r="K913" s="1" t="s">
        <v>20</v>
      </c>
      <c r="L913">
        <v>20220917090138</v>
      </c>
      <c r="M913" s="1" t="s">
        <v>1302</v>
      </c>
      <c r="N913" s="1" t="s">
        <v>101</v>
      </c>
      <c r="O913">
        <v>9</v>
      </c>
      <c r="P913" s="3">
        <v>44821</v>
      </c>
      <c r="Q913">
        <v>37</v>
      </c>
    </row>
    <row r="914" spans="1:17" x14ac:dyDescent="0.3">
      <c r="A914" s="1" t="s">
        <v>1300</v>
      </c>
      <c r="B914" s="2">
        <v>44821.375694444447</v>
      </c>
      <c r="C914" s="1" t="s">
        <v>37</v>
      </c>
      <c r="D914" s="1" t="s">
        <v>38</v>
      </c>
      <c r="E914" s="1" t="s">
        <v>39</v>
      </c>
      <c r="F914" s="1" t="s">
        <v>20</v>
      </c>
      <c r="G914" s="1" t="s">
        <v>20</v>
      </c>
      <c r="H914" s="1" t="s">
        <v>20</v>
      </c>
      <c r="I914" s="1" t="s">
        <v>20</v>
      </c>
      <c r="J914" s="1" t="s">
        <v>20</v>
      </c>
      <c r="K914" s="1" t="s">
        <v>20</v>
      </c>
      <c r="L914">
        <v>20220917090145</v>
      </c>
      <c r="M914" s="1" t="s">
        <v>1303</v>
      </c>
      <c r="N914" s="1" t="s">
        <v>101</v>
      </c>
      <c r="O914">
        <v>9</v>
      </c>
      <c r="P914" s="3">
        <v>44821</v>
      </c>
      <c r="Q914">
        <v>37</v>
      </c>
    </row>
    <row r="915" spans="1:17" x14ac:dyDescent="0.3">
      <c r="A915" s="1" t="s">
        <v>1300</v>
      </c>
      <c r="B915" s="2">
        <v>44821.375694444447</v>
      </c>
      <c r="C915" s="1" t="s">
        <v>18</v>
      </c>
      <c r="D915" s="1" t="s">
        <v>41</v>
      </c>
      <c r="E915" s="1" t="s">
        <v>20</v>
      </c>
      <c r="F915" s="1" t="s">
        <v>20</v>
      </c>
      <c r="G915" s="1" t="s">
        <v>20</v>
      </c>
      <c r="H915" s="1" t="s">
        <v>20</v>
      </c>
      <c r="I915" s="1" t="s">
        <v>20</v>
      </c>
      <c r="J915" s="1" t="s">
        <v>42</v>
      </c>
      <c r="K915" s="1" t="s">
        <v>1304</v>
      </c>
      <c r="L915">
        <v>20220917090152</v>
      </c>
      <c r="M915" s="1" t="s">
        <v>1305</v>
      </c>
      <c r="N915" s="1" t="s">
        <v>101</v>
      </c>
      <c r="O915">
        <v>9</v>
      </c>
      <c r="P915" s="3">
        <v>44821</v>
      </c>
      <c r="Q915">
        <v>37</v>
      </c>
    </row>
    <row r="916" spans="1:17" x14ac:dyDescent="0.3">
      <c r="A916" s="1" t="s">
        <v>1306</v>
      </c>
      <c r="B916" s="2">
        <v>44821.376388888886</v>
      </c>
      <c r="C916" s="1" t="s">
        <v>18</v>
      </c>
      <c r="D916" s="1" t="s">
        <v>44</v>
      </c>
      <c r="E916" s="1" t="s">
        <v>20</v>
      </c>
      <c r="F916" s="1" t="s">
        <v>20</v>
      </c>
      <c r="G916" s="1" t="s">
        <v>20</v>
      </c>
      <c r="H916" s="1" t="s">
        <v>20</v>
      </c>
      <c r="I916" s="1" t="s">
        <v>20</v>
      </c>
      <c r="J916" s="1" t="s">
        <v>45</v>
      </c>
      <c r="K916" s="1" t="s">
        <v>1304</v>
      </c>
      <c r="L916">
        <v>20220917090201</v>
      </c>
      <c r="M916" s="1" t="s">
        <v>1307</v>
      </c>
      <c r="N916" s="1" t="s">
        <v>101</v>
      </c>
      <c r="O916">
        <v>9</v>
      </c>
      <c r="P916" s="3">
        <v>44821</v>
      </c>
      <c r="Q916">
        <v>37</v>
      </c>
    </row>
    <row r="917" spans="1:17" x14ac:dyDescent="0.3">
      <c r="A917" s="1" t="s">
        <v>1306</v>
      </c>
      <c r="B917" s="2">
        <v>44821.376388888886</v>
      </c>
      <c r="C917" s="1" t="s">
        <v>18</v>
      </c>
      <c r="D917" s="1" t="s">
        <v>47</v>
      </c>
      <c r="E917" s="1" t="s">
        <v>20</v>
      </c>
      <c r="F917" s="1" t="s">
        <v>20</v>
      </c>
      <c r="G917" s="1" t="s">
        <v>20</v>
      </c>
      <c r="H917" s="1" t="s">
        <v>20</v>
      </c>
      <c r="I917" s="1" t="s">
        <v>20</v>
      </c>
      <c r="J917" s="1" t="s">
        <v>51</v>
      </c>
      <c r="K917" s="1" t="s">
        <v>1304</v>
      </c>
      <c r="L917">
        <v>20220917090206</v>
      </c>
      <c r="M917" s="1" t="s">
        <v>1308</v>
      </c>
      <c r="N917" s="1" t="s">
        <v>101</v>
      </c>
      <c r="O917">
        <v>9</v>
      </c>
      <c r="P917" s="3">
        <v>44821</v>
      </c>
      <c r="Q917">
        <v>37</v>
      </c>
    </row>
    <row r="918" spans="1:17" x14ac:dyDescent="0.3">
      <c r="A918" s="1" t="s">
        <v>1306</v>
      </c>
      <c r="B918" s="2">
        <v>44821.376388888886</v>
      </c>
      <c r="C918" s="1" t="s">
        <v>18</v>
      </c>
      <c r="D918" s="1" t="s">
        <v>47</v>
      </c>
      <c r="E918" s="1" t="s">
        <v>20</v>
      </c>
      <c r="F918" s="1" t="s">
        <v>20</v>
      </c>
      <c r="G918" s="1" t="s">
        <v>20</v>
      </c>
      <c r="H918" s="1" t="s">
        <v>20</v>
      </c>
      <c r="I918" s="1" t="s">
        <v>20</v>
      </c>
      <c r="J918" s="1" t="s">
        <v>536</v>
      </c>
      <c r="K918" s="1" t="s">
        <v>1304</v>
      </c>
      <c r="L918">
        <v>20220917090223</v>
      </c>
      <c r="M918" s="1" t="s">
        <v>1309</v>
      </c>
      <c r="N918" s="1" t="s">
        <v>101</v>
      </c>
      <c r="O918">
        <v>9</v>
      </c>
      <c r="P918" s="3">
        <v>44821</v>
      </c>
      <c r="Q918">
        <v>37</v>
      </c>
    </row>
    <row r="919" spans="1:17" x14ac:dyDescent="0.3">
      <c r="A919" s="1" t="s">
        <v>1310</v>
      </c>
      <c r="B919" s="2">
        <v>44821.377083333333</v>
      </c>
      <c r="C919" s="1" t="s">
        <v>18</v>
      </c>
      <c r="D919" s="1" t="s">
        <v>53</v>
      </c>
      <c r="E919" s="1" t="s">
        <v>20</v>
      </c>
      <c r="F919" s="1" t="s">
        <v>20</v>
      </c>
      <c r="G919" s="1" t="s">
        <v>20</v>
      </c>
      <c r="H919" s="1" t="s">
        <v>20</v>
      </c>
      <c r="I919" s="1" t="s">
        <v>20</v>
      </c>
      <c r="J919" s="1" t="s">
        <v>54</v>
      </c>
      <c r="K919" s="1" t="s">
        <v>1304</v>
      </c>
      <c r="L919">
        <v>20220917090301</v>
      </c>
      <c r="M919" s="1" t="s">
        <v>1311</v>
      </c>
      <c r="N919" s="1" t="s">
        <v>101</v>
      </c>
      <c r="O919">
        <v>9</v>
      </c>
      <c r="P919" s="3">
        <v>44821</v>
      </c>
      <c r="Q919">
        <v>37</v>
      </c>
    </row>
    <row r="920" spans="1:17" x14ac:dyDescent="0.3">
      <c r="A920" s="1" t="s">
        <v>1310</v>
      </c>
      <c r="B920" s="2">
        <v>44821.377083333333</v>
      </c>
      <c r="C920" s="1" t="s">
        <v>18</v>
      </c>
      <c r="D920" s="1" t="s">
        <v>53</v>
      </c>
      <c r="E920" s="1" t="s">
        <v>20</v>
      </c>
      <c r="F920" s="1" t="s">
        <v>20</v>
      </c>
      <c r="G920" s="1" t="s">
        <v>20</v>
      </c>
      <c r="H920" s="1" t="s">
        <v>20</v>
      </c>
      <c r="I920" s="1" t="s">
        <v>20</v>
      </c>
      <c r="J920" s="1" t="s">
        <v>56</v>
      </c>
      <c r="K920" s="1" t="s">
        <v>1304</v>
      </c>
      <c r="L920">
        <v>20220917090321</v>
      </c>
      <c r="M920" s="1" t="s">
        <v>1312</v>
      </c>
      <c r="N920" s="1" t="s">
        <v>101</v>
      </c>
      <c r="O920">
        <v>9</v>
      </c>
      <c r="P920" s="3">
        <v>44821</v>
      </c>
      <c r="Q920">
        <v>37</v>
      </c>
    </row>
    <row r="921" spans="1:17" x14ac:dyDescent="0.3">
      <c r="A921" s="1" t="s">
        <v>1313</v>
      </c>
      <c r="B921" s="2">
        <v>44821.378472222219</v>
      </c>
      <c r="C921" s="1" t="s">
        <v>18</v>
      </c>
      <c r="D921" s="1" t="s">
        <v>19</v>
      </c>
      <c r="E921" s="1" t="s">
        <v>20</v>
      </c>
      <c r="F921" s="1" t="s">
        <v>20</v>
      </c>
      <c r="G921" s="1" t="s">
        <v>20</v>
      </c>
      <c r="H921" s="1" t="s">
        <v>20</v>
      </c>
      <c r="I921" s="1" t="s">
        <v>20</v>
      </c>
      <c r="J921" s="1" t="s">
        <v>58</v>
      </c>
      <c r="K921" s="1" t="s">
        <v>1304</v>
      </c>
      <c r="L921">
        <v>20220917090554</v>
      </c>
      <c r="M921" s="1" t="s">
        <v>1314</v>
      </c>
      <c r="N921" s="1" t="s">
        <v>101</v>
      </c>
      <c r="O921">
        <v>9</v>
      </c>
      <c r="P921" s="3">
        <v>44821</v>
      </c>
      <c r="Q921">
        <v>37</v>
      </c>
    </row>
    <row r="922" spans="1:17" x14ac:dyDescent="0.3">
      <c r="A922" s="1" t="s">
        <v>1315</v>
      </c>
      <c r="B922" s="2">
        <v>44821.379166666666</v>
      </c>
      <c r="C922" s="1" t="s">
        <v>18</v>
      </c>
      <c r="D922" s="1" t="s">
        <v>60</v>
      </c>
      <c r="E922" s="1" t="s">
        <v>20</v>
      </c>
      <c r="F922" s="1" t="s">
        <v>20</v>
      </c>
      <c r="G922" s="1" t="s">
        <v>20</v>
      </c>
      <c r="H922" s="1" t="s">
        <v>20</v>
      </c>
      <c r="I922" s="1" t="s">
        <v>20</v>
      </c>
      <c r="J922" s="1" t="s">
        <v>61</v>
      </c>
      <c r="K922" s="1" t="s">
        <v>1304</v>
      </c>
      <c r="L922">
        <v>20220917090602</v>
      </c>
      <c r="M922" s="1" t="s">
        <v>1316</v>
      </c>
      <c r="N922" s="1" t="s">
        <v>101</v>
      </c>
      <c r="O922">
        <v>9</v>
      </c>
      <c r="P922" s="3">
        <v>44821</v>
      </c>
      <c r="Q922">
        <v>37</v>
      </c>
    </row>
    <row r="923" spans="1:17" x14ac:dyDescent="0.3">
      <c r="A923" s="1" t="s">
        <v>1315</v>
      </c>
      <c r="B923" s="2">
        <v>44821.379166666666</v>
      </c>
      <c r="C923" s="1" t="s">
        <v>18</v>
      </c>
      <c r="D923" s="1" t="s">
        <v>29</v>
      </c>
      <c r="E923" s="1" t="s">
        <v>20</v>
      </c>
      <c r="F923" s="1" t="s">
        <v>20</v>
      </c>
      <c r="G923" s="1" t="s">
        <v>20</v>
      </c>
      <c r="H923" s="1" t="s">
        <v>20</v>
      </c>
      <c r="I923" s="1" t="s">
        <v>20</v>
      </c>
      <c r="J923" s="1" t="s">
        <v>30</v>
      </c>
      <c r="K923" s="1" t="s">
        <v>1304</v>
      </c>
      <c r="L923">
        <v>20220917090608</v>
      </c>
      <c r="M923" s="1" t="s">
        <v>1317</v>
      </c>
      <c r="N923" s="1" t="s">
        <v>101</v>
      </c>
      <c r="O923">
        <v>9</v>
      </c>
      <c r="P923" s="3">
        <v>44821</v>
      </c>
      <c r="Q923">
        <v>37</v>
      </c>
    </row>
    <row r="924" spans="1:17" x14ac:dyDescent="0.3">
      <c r="A924" s="1" t="s">
        <v>1315</v>
      </c>
      <c r="B924" s="2">
        <v>44821.379166666666</v>
      </c>
      <c r="C924" s="1" t="s">
        <v>18</v>
      </c>
      <c r="D924" s="1" t="s">
        <v>29</v>
      </c>
      <c r="E924" s="1" t="s">
        <v>20</v>
      </c>
      <c r="F924" s="1" t="s">
        <v>20</v>
      </c>
      <c r="G924" s="1" t="s">
        <v>20</v>
      </c>
      <c r="H924" s="1" t="s">
        <v>20</v>
      </c>
      <c r="I924" s="1" t="s">
        <v>20</v>
      </c>
      <c r="J924" s="1" t="s">
        <v>554</v>
      </c>
      <c r="K924" s="1" t="s">
        <v>1304</v>
      </c>
      <c r="L924">
        <v>20220917090618</v>
      </c>
      <c r="M924" s="1" t="s">
        <v>1318</v>
      </c>
      <c r="N924" s="1" t="s">
        <v>101</v>
      </c>
      <c r="O924">
        <v>9</v>
      </c>
      <c r="P924" s="3">
        <v>44821</v>
      </c>
      <c r="Q924">
        <v>37</v>
      </c>
    </row>
    <row r="925" spans="1:17" x14ac:dyDescent="0.3">
      <c r="A925" s="1" t="s">
        <v>1319</v>
      </c>
      <c r="B925" s="2">
        <v>44821.390277777777</v>
      </c>
      <c r="C925" s="1" t="s">
        <v>18</v>
      </c>
      <c r="D925" s="1" t="s">
        <v>47</v>
      </c>
      <c r="E925" s="1" t="s">
        <v>77</v>
      </c>
      <c r="F925" s="1" t="s">
        <v>20</v>
      </c>
      <c r="G925" s="1" t="s">
        <v>20</v>
      </c>
      <c r="H925" s="1" t="s">
        <v>20</v>
      </c>
      <c r="I925" s="1" t="s">
        <v>20</v>
      </c>
      <c r="J925" s="1" t="s">
        <v>48</v>
      </c>
      <c r="K925" s="1" t="s">
        <v>1304</v>
      </c>
      <c r="L925">
        <v>20220917092249</v>
      </c>
      <c r="M925" s="1" t="s">
        <v>1320</v>
      </c>
      <c r="N925" s="1" t="s">
        <v>101</v>
      </c>
      <c r="O925">
        <v>9</v>
      </c>
      <c r="P925" s="3">
        <v>44821</v>
      </c>
      <c r="Q925">
        <v>37</v>
      </c>
    </row>
    <row r="926" spans="1:17" x14ac:dyDescent="0.3">
      <c r="A926" s="1" t="s">
        <v>1321</v>
      </c>
      <c r="B926" s="2">
        <v>44823.375694444447</v>
      </c>
      <c r="C926" s="1" t="s">
        <v>37</v>
      </c>
      <c r="D926" s="1" t="s">
        <v>26</v>
      </c>
      <c r="E926" s="1" t="s">
        <v>27</v>
      </c>
      <c r="F926" s="1" t="s">
        <v>77</v>
      </c>
      <c r="G926" s="1" t="s">
        <v>77</v>
      </c>
      <c r="H926" s="1" t="s">
        <v>77</v>
      </c>
      <c r="I926" s="1" t="s">
        <v>77</v>
      </c>
      <c r="J926" s="1" t="s">
        <v>77</v>
      </c>
      <c r="K926" s="1" t="s">
        <v>77</v>
      </c>
      <c r="L926">
        <v>20220919090129</v>
      </c>
      <c r="M926" s="1" t="s">
        <v>1322</v>
      </c>
      <c r="N926" s="1" t="s">
        <v>120</v>
      </c>
      <c r="O926">
        <v>9</v>
      </c>
      <c r="P926" s="3">
        <v>44823</v>
      </c>
      <c r="Q926">
        <v>38</v>
      </c>
    </row>
    <row r="927" spans="1:17" x14ac:dyDescent="0.3">
      <c r="A927" s="1" t="s">
        <v>1321</v>
      </c>
      <c r="B927" s="2">
        <v>44823.375694444447</v>
      </c>
      <c r="C927" s="1" t="s">
        <v>37</v>
      </c>
      <c r="D927" s="1" t="s">
        <v>195</v>
      </c>
      <c r="E927" s="1" t="s">
        <v>21</v>
      </c>
      <c r="F927" s="1" t="s">
        <v>77</v>
      </c>
      <c r="G927" s="1" t="s">
        <v>77</v>
      </c>
      <c r="H927" s="1" t="s">
        <v>77</v>
      </c>
      <c r="I927" s="1" t="s">
        <v>77</v>
      </c>
      <c r="J927" s="1" t="s">
        <v>77</v>
      </c>
      <c r="K927" s="1" t="s">
        <v>77</v>
      </c>
      <c r="L927">
        <v>20220919090137</v>
      </c>
      <c r="M927" s="1" t="s">
        <v>1323</v>
      </c>
      <c r="N927" s="1" t="s">
        <v>120</v>
      </c>
      <c r="O927">
        <v>9</v>
      </c>
      <c r="P927" s="3">
        <v>44823</v>
      </c>
      <c r="Q927">
        <v>38</v>
      </c>
    </row>
    <row r="928" spans="1:17" x14ac:dyDescent="0.3">
      <c r="A928" s="1" t="s">
        <v>1321</v>
      </c>
      <c r="B928" s="2">
        <v>44823.375694444447</v>
      </c>
      <c r="C928" s="1" t="s">
        <v>37</v>
      </c>
      <c r="D928" s="1" t="s">
        <v>38</v>
      </c>
      <c r="E928" s="1" t="s">
        <v>39</v>
      </c>
      <c r="F928" s="1" t="s">
        <v>77</v>
      </c>
      <c r="G928" s="1" t="s">
        <v>77</v>
      </c>
      <c r="H928" s="1" t="s">
        <v>77</v>
      </c>
      <c r="I928" s="1" t="s">
        <v>77</v>
      </c>
      <c r="J928" s="1" t="s">
        <v>77</v>
      </c>
      <c r="K928" s="1" t="s">
        <v>77</v>
      </c>
      <c r="L928">
        <v>20220919090146</v>
      </c>
      <c r="M928" s="1" t="s">
        <v>1324</v>
      </c>
      <c r="N928" s="1" t="s">
        <v>120</v>
      </c>
      <c r="O928">
        <v>9</v>
      </c>
      <c r="P928" s="3">
        <v>44823</v>
      </c>
      <c r="Q928">
        <v>38</v>
      </c>
    </row>
    <row r="929" spans="1:17" x14ac:dyDescent="0.3">
      <c r="A929" s="1" t="s">
        <v>1321</v>
      </c>
      <c r="B929" s="2">
        <v>44823.375694444447</v>
      </c>
      <c r="C929" s="1" t="s">
        <v>37</v>
      </c>
      <c r="D929" s="1" t="s">
        <v>41</v>
      </c>
      <c r="E929" s="1" t="s">
        <v>42</v>
      </c>
      <c r="F929" s="1" t="s">
        <v>77</v>
      </c>
      <c r="G929" s="1" t="s">
        <v>77</v>
      </c>
      <c r="H929" s="1" t="s">
        <v>77</v>
      </c>
      <c r="I929" s="1" t="s">
        <v>77</v>
      </c>
      <c r="J929" s="1" t="s">
        <v>77</v>
      </c>
      <c r="K929" s="1" t="s">
        <v>77</v>
      </c>
      <c r="L929">
        <v>20220919090153</v>
      </c>
      <c r="M929" s="1" t="s">
        <v>1325</v>
      </c>
      <c r="N929" s="1" t="s">
        <v>120</v>
      </c>
      <c r="O929">
        <v>9</v>
      </c>
      <c r="P929" s="3">
        <v>44823</v>
      </c>
      <c r="Q929">
        <v>38</v>
      </c>
    </row>
    <row r="930" spans="1:17" x14ac:dyDescent="0.3">
      <c r="A930" s="1" t="s">
        <v>1326</v>
      </c>
      <c r="B930" s="2">
        <v>44823.376388888886</v>
      </c>
      <c r="C930" s="1" t="s">
        <v>37</v>
      </c>
      <c r="D930" s="1" t="s">
        <v>44</v>
      </c>
      <c r="E930" s="1" t="s">
        <v>45</v>
      </c>
      <c r="F930" s="1" t="s">
        <v>77</v>
      </c>
      <c r="G930" s="1" t="s">
        <v>77</v>
      </c>
      <c r="H930" s="1" t="s">
        <v>77</v>
      </c>
      <c r="I930" s="1" t="s">
        <v>77</v>
      </c>
      <c r="J930" s="1" t="s">
        <v>77</v>
      </c>
      <c r="K930" s="1" t="s">
        <v>77</v>
      </c>
      <c r="L930">
        <v>20220919090200</v>
      </c>
      <c r="M930" s="1" t="s">
        <v>1327</v>
      </c>
      <c r="N930" s="1" t="s">
        <v>120</v>
      </c>
      <c r="O930">
        <v>9</v>
      </c>
      <c r="P930" s="3">
        <v>44823</v>
      </c>
      <c r="Q930">
        <v>38</v>
      </c>
    </row>
    <row r="931" spans="1:17" x14ac:dyDescent="0.3">
      <c r="A931" s="1" t="s">
        <v>1326</v>
      </c>
      <c r="B931" s="2">
        <v>44823.376388888886</v>
      </c>
      <c r="C931" s="1" t="s">
        <v>37</v>
      </c>
      <c r="D931" s="1" t="s">
        <v>47</v>
      </c>
      <c r="E931" s="1" t="s">
        <v>51</v>
      </c>
      <c r="F931" s="1" t="s">
        <v>77</v>
      </c>
      <c r="G931" s="1" t="s">
        <v>77</v>
      </c>
      <c r="H931" s="1" t="s">
        <v>77</v>
      </c>
      <c r="I931" s="1" t="s">
        <v>77</v>
      </c>
      <c r="J931" s="1" t="s">
        <v>77</v>
      </c>
      <c r="K931" s="1" t="s">
        <v>77</v>
      </c>
      <c r="L931">
        <v>20220919090207</v>
      </c>
      <c r="M931" s="1" t="s">
        <v>1328</v>
      </c>
      <c r="N931" s="1" t="s">
        <v>120</v>
      </c>
      <c r="O931">
        <v>9</v>
      </c>
      <c r="P931" s="3">
        <v>44823</v>
      </c>
      <c r="Q931">
        <v>38</v>
      </c>
    </row>
    <row r="932" spans="1:17" x14ac:dyDescent="0.3">
      <c r="A932" s="1" t="s">
        <v>1326</v>
      </c>
      <c r="B932" s="2">
        <v>44823.376388888886</v>
      </c>
      <c r="C932" s="1" t="s">
        <v>37</v>
      </c>
      <c r="D932" s="1" t="s">
        <v>47</v>
      </c>
      <c r="E932" s="1" t="s">
        <v>536</v>
      </c>
      <c r="F932" s="1" t="s">
        <v>77</v>
      </c>
      <c r="G932" s="1" t="s">
        <v>77</v>
      </c>
      <c r="H932" s="1" t="s">
        <v>77</v>
      </c>
      <c r="I932" s="1" t="s">
        <v>77</v>
      </c>
      <c r="J932" s="1" t="s">
        <v>77</v>
      </c>
      <c r="K932" s="1" t="s">
        <v>77</v>
      </c>
      <c r="L932">
        <v>20220919090221</v>
      </c>
      <c r="M932" s="1" t="s">
        <v>1329</v>
      </c>
      <c r="N932" s="1" t="s">
        <v>120</v>
      </c>
      <c r="O932">
        <v>9</v>
      </c>
      <c r="P932" s="3">
        <v>44823</v>
      </c>
      <c r="Q932">
        <v>38</v>
      </c>
    </row>
    <row r="933" spans="1:17" x14ac:dyDescent="0.3">
      <c r="A933" s="1" t="s">
        <v>1330</v>
      </c>
      <c r="B933" s="2">
        <v>44823.377083333333</v>
      </c>
      <c r="C933" s="1" t="s">
        <v>37</v>
      </c>
      <c r="D933" s="1" t="s">
        <v>53</v>
      </c>
      <c r="E933" s="1" t="s">
        <v>54</v>
      </c>
      <c r="F933" s="1" t="s">
        <v>77</v>
      </c>
      <c r="G933" s="1" t="s">
        <v>77</v>
      </c>
      <c r="H933" s="1" t="s">
        <v>77</v>
      </c>
      <c r="I933" s="1" t="s">
        <v>77</v>
      </c>
      <c r="J933" s="1" t="s">
        <v>77</v>
      </c>
      <c r="K933" s="1" t="s">
        <v>77</v>
      </c>
      <c r="L933">
        <v>20220919090302</v>
      </c>
      <c r="M933" s="1" t="s">
        <v>1331</v>
      </c>
      <c r="N933" s="1" t="s">
        <v>120</v>
      </c>
      <c r="O933">
        <v>9</v>
      </c>
      <c r="P933" s="3">
        <v>44823</v>
      </c>
      <c r="Q933">
        <v>38</v>
      </c>
    </row>
    <row r="934" spans="1:17" x14ac:dyDescent="0.3">
      <c r="A934" s="1" t="s">
        <v>1330</v>
      </c>
      <c r="B934" s="2">
        <v>44823.377083333333</v>
      </c>
      <c r="C934" s="1" t="s">
        <v>18</v>
      </c>
      <c r="D934" s="1" t="s">
        <v>53</v>
      </c>
      <c r="E934" s="1" t="s">
        <v>20</v>
      </c>
      <c r="F934" s="1" t="s">
        <v>77</v>
      </c>
      <c r="G934" s="1" t="s">
        <v>77</v>
      </c>
      <c r="H934" s="1" t="s">
        <v>56</v>
      </c>
      <c r="I934" s="1" t="s">
        <v>1002</v>
      </c>
      <c r="J934" s="1" t="s">
        <v>77</v>
      </c>
      <c r="K934" s="1" t="s">
        <v>77</v>
      </c>
      <c r="L934">
        <v>20220919090320</v>
      </c>
      <c r="M934" s="1" t="s">
        <v>1332</v>
      </c>
      <c r="N934" s="1" t="s">
        <v>120</v>
      </c>
      <c r="O934">
        <v>9</v>
      </c>
      <c r="P934" s="3">
        <v>44823</v>
      </c>
      <c r="Q934">
        <v>38</v>
      </c>
    </row>
    <row r="935" spans="1:17" x14ac:dyDescent="0.3">
      <c r="A935" s="1" t="s">
        <v>1333</v>
      </c>
      <c r="B935" s="2">
        <v>44823.378472222219</v>
      </c>
      <c r="C935" s="1" t="s">
        <v>37</v>
      </c>
      <c r="D935" s="1" t="s">
        <v>19</v>
      </c>
      <c r="E935" s="1" t="s">
        <v>58</v>
      </c>
      <c r="F935" s="1" t="s">
        <v>77</v>
      </c>
      <c r="G935" s="1" t="s">
        <v>77</v>
      </c>
      <c r="H935" s="1" t="s">
        <v>77</v>
      </c>
      <c r="I935" s="1" t="s">
        <v>77</v>
      </c>
      <c r="J935" s="1" t="s">
        <v>77</v>
      </c>
      <c r="K935" s="1" t="s">
        <v>77</v>
      </c>
      <c r="L935">
        <v>20220919090553</v>
      </c>
      <c r="M935" s="1" t="s">
        <v>1334</v>
      </c>
      <c r="N935" s="1" t="s">
        <v>120</v>
      </c>
      <c r="O935">
        <v>9</v>
      </c>
      <c r="P935" s="3">
        <v>44823</v>
      </c>
      <c r="Q935">
        <v>38</v>
      </c>
    </row>
    <row r="936" spans="1:17" x14ac:dyDescent="0.3">
      <c r="A936" s="1" t="s">
        <v>1335</v>
      </c>
      <c r="B936" s="2">
        <v>44823.379166666666</v>
      </c>
      <c r="C936" s="1" t="s">
        <v>37</v>
      </c>
      <c r="D936" s="1" t="s">
        <v>60</v>
      </c>
      <c r="E936" s="1" t="s">
        <v>61</v>
      </c>
      <c r="F936" s="1" t="s">
        <v>77</v>
      </c>
      <c r="G936" s="1" t="s">
        <v>77</v>
      </c>
      <c r="H936" s="1" t="s">
        <v>77</v>
      </c>
      <c r="I936" s="1" t="s">
        <v>77</v>
      </c>
      <c r="J936" s="1" t="s">
        <v>77</v>
      </c>
      <c r="K936" s="1" t="s">
        <v>77</v>
      </c>
      <c r="L936">
        <v>20220919090601</v>
      </c>
      <c r="M936" s="1" t="s">
        <v>1336</v>
      </c>
      <c r="N936" s="1" t="s">
        <v>120</v>
      </c>
      <c r="O936">
        <v>9</v>
      </c>
      <c r="P936" s="3">
        <v>44823</v>
      </c>
      <c r="Q936">
        <v>38</v>
      </c>
    </row>
    <row r="937" spans="1:17" x14ac:dyDescent="0.3">
      <c r="A937" s="1" t="s">
        <v>1335</v>
      </c>
      <c r="B937" s="2">
        <v>44823.379166666666</v>
      </c>
      <c r="C937" s="1" t="s">
        <v>37</v>
      </c>
      <c r="D937" s="1" t="s">
        <v>29</v>
      </c>
      <c r="E937" s="1" t="s">
        <v>30</v>
      </c>
      <c r="F937" s="1" t="s">
        <v>77</v>
      </c>
      <c r="G937" s="1" t="s">
        <v>77</v>
      </c>
      <c r="H937" s="1" t="s">
        <v>77</v>
      </c>
      <c r="I937" s="1" t="s">
        <v>77</v>
      </c>
      <c r="J937" s="1" t="s">
        <v>77</v>
      </c>
      <c r="K937" s="1" t="s">
        <v>77</v>
      </c>
      <c r="L937">
        <v>20220919090609</v>
      </c>
      <c r="M937" s="1" t="s">
        <v>1337</v>
      </c>
      <c r="N937" s="1" t="s">
        <v>120</v>
      </c>
      <c r="O937">
        <v>9</v>
      </c>
      <c r="P937" s="3">
        <v>44823</v>
      </c>
      <c r="Q937">
        <v>38</v>
      </c>
    </row>
    <row r="938" spans="1:17" x14ac:dyDescent="0.3">
      <c r="A938" s="1" t="s">
        <v>1335</v>
      </c>
      <c r="B938" s="2">
        <v>44823.379166666666</v>
      </c>
      <c r="C938" s="1" t="s">
        <v>37</v>
      </c>
      <c r="D938" s="1" t="s">
        <v>29</v>
      </c>
      <c r="E938" s="1" t="s">
        <v>554</v>
      </c>
      <c r="F938" s="1" t="s">
        <v>77</v>
      </c>
      <c r="G938" s="1" t="s">
        <v>77</v>
      </c>
      <c r="H938" s="1" t="s">
        <v>77</v>
      </c>
      <c r="I938" s="1" t="s">
        <v>77</v>
      </c>
      <c r="J938" s="1" t="s">
        <v>77</v>
      </c>
      <c r="K938" s="1" t="s">
        <v>77</v>
      </c>
      <c r="L938">
        <v>20220919090617</v>
      </c>
      <c r="M938" s="1" t="s">
        <v>1338</v>
      </c>
      <c r="N938" s="1" t="s">
        <v>120</v>
      </c>
      <c r="O938">
        <v>9</v>
      </c>
      <c r="P938" s="3">
        <v>44823</v>
      </c>
      <c r="Q938">
        <v>38</v>
      </c>
    </row>
    <row r="939" spans="1:17" x14ac:dyDescent="0.3">
      <c r="A939" s="1" t="s">
        <v>1339</v>
      </c>
      <c r="B939" s="2">
        <v>44823.390277777777</v>
      </c>
      <c r="C939" s="1" t="s">
        <v>18</v>
      </c>
      <c r="D939" s="1" t="s">
        <v>47</v>
      </c>
      <c r="E939" s="1" t="s">
        <v>77</v>
      </c>
      <c r="F939" s="1" t="s">
        <v>77</v>
      </c>
      <c r="G939" s="1" t="s">
        <v>77</v>
      </c>
      <c r="H939" s="1" t="s">
        <v>77</v>
      </c>
      <c r="I939" s="1" t="s">
        <v>77</v>
      </c>
      <c r="J939" s="1" t="s">
        <v>48</v>
      </c>
      <c r="K939" s="1" t="s">
        <v>1340</v>
      </c>
      <c r="L939">
        <v>20220919092248</v>
      </c>
      <c r="M939" s="1" t="s">
        <v>1341</v>
      </c>
      <c r="N939" s="1" t="s">
        <v>120</v>
      </c>
      <c r="O939">
        <v>9</v>
      </c>
      <c r="P939" s="3">
        <v>44823</v>
      </c>
      <c r="Q939">
        <v>38</v>
      </c>
    </row>
    <row r="940" spans="1:17" x14ac:dyDescent="0.3">
      <c r="A940" s="1" t="s">
        <v>1342</v>
      </c>
      <c r="B940" s="2">
        <v>44824.388194444444</v>
      </c>
      <c r="C940" s="1" t="s">
        <v>37</v>
      </c>
      <c r="D940" s="1" t="s">
        <v>26</v>
      </c>
      <c r="E940" s="1" t="s">
        <v>27</v>
      </c>
      <c r="F940" s="1" t="s">
        <v>77</v>
      </c>
      <c r="G940" s="1" t="s">
        <v>77</v>
      </c>
      <c r="H940" s="1" t="s">
        <v>77</v>
      </c>
      <c r="I940" s="1" t="s">
        <v>77</v>
      </c>
      <c r="J940" s="1" t="s">
        <v>77</v>
      </c>
      <c r="K940" s="1" t="s">
        <v>77</v>
      </c>
      <c r="L940">
        <v>20220920091951</v>
      </c>
      <c r="M940" s="1" t="s">
        <v>1343</v>
      </c>
      <c r="N940" s="1" t="s">
        <v>140</v>
      </c>
      <c r="O940">
        <v>9</v>
      </c>
      <c r="P940" s="3">
        <v>44824</v>
      </c>
      <c r="Q940">
        <v>38</v>
      </c>
    </row>
    <row r="941" spans="1:17" x14ac:dyDescent="0.3">
      <c r="A941" s="1" t="s">
        <v>1344</v>
      </c>
      <c r="B941" s="2">
        <v>44824.388888888891</v>
      </c>
      <c r="C941" s="1" t="s">
        <v>37</v>
      </c>
      <c r="D941" s="1" t="s">
        <v>195</v>
      </c>
      <c r="E941" s="1" t="s">
        <v>21</v>
      </c>
      <c r="F941" s="1" t="s">
        <v>77</v>
      </c>
      <c r="G941" s="1" t="s">
        <v>77</v>
      </c>
      <c r="H941" s="1" t="s">
        <v>77</v>
      </c>
      <c r="I941" s="1" t="s">
        <v>77</v>
      </c>
      <c r="J941" s="1" t="s">
        <v>77</v>
      </c>
      <c r="K941" s="1" t="s">
        <v>77</v>
      </c>
      <c r="L941">
        <v>20220920092001</v>
      </c>
      <c r="M941" s="1" t="s">
        <v>1345</v>
      </c>
      <c r="N941" s="1" t="s">
        <v>140</v>
      </c>
      <c r="O941">
        <v>9</v>
      </c>
      <c r="P941" s="3">
        <v>44824</v>
      </c>
      <c r="Q941">
        <v>38</v>
      </c>
    </row>
    <row r="942" spans="1:17" x14ac:dyDescent="0.3">
      <c r="A942" s="1" t="s">
        <v>1344</v>
      </c>
      <c r="B942" s="2">
        <v>44824.388888888891</v>
      </c>
      <c r="C942" s="1" t="s">
        <v>37</v>
      </c>
      <c r="D942" s="1" t="s">
        <v>38</v>
      </c>
      <c r="E942" s="1" t="s">
        <v>39</v>
      </c>
      <c r="F942" s="1" t="s">
        <v>77</v>
      </c>
      <c r="G942" s="1" t="s">
        <v>77</v>
      </c>
      <c r="H942" s="1" t="s">
        <v>77</v>
      </c>
      <c r="I942" s="1" t="s">
        <v>77</v>
      </c>
      <c r="J942" s="1" t="s">
        <v>77</v>
      </c>
      <c r="K942" s="1" t="s">
        <v>77</v>
      </c>
      <c r="L942">
        <v>20220920092042</v>
      </c>
      <c r="M942" s="1" t="s">
        <v>1346</v>
      </c>
      <c r="N942" s="1" t="s">
        <v>140</v>
      </c>
      <c r="O942">
        <v>9</v>
      </c>
      <c r="P942" s="3">
        <v>44824</v>
      </c>
      <c r="Q942">
        <v>38</v>
      </c>
    </row>
    <row r="943" spans="1:17" x14ac:dyDescent="0.3">
      <c r="A943" s="1" t="s">
        <v>1344</v>
      </c>
      <c r="B943" s="2">
        <v>44824.38958333333</v>
      </c>
      <c r="C943" s="1" t="s">
        <v>37</v>
      </c>
      <c r="D943" s="1" t="s">
        <v>41</v>
      </c>
      <c r="E943" s="1" t="s">
        <v>42</v>
      </c>
      <c r="F943" s="1" t="s">
        <v>77</v>
      </c>
      <c r="G943" s="1" t="s">
        <v>77</v>
      </c>
      <c r="H943" s="1" t="s">
        <v>77</v>
      </c>
      <c r="I943" s="1" t="s">
        <v>77</v>
      </c>
      <c r="J943" s="1" t="s">
        <v>77</v>
      </c>
      <c r="K943" s="1" t="s">
        <v>77</v>
      </c>
      <c r="L943">
        <v>20220920092056</v>
      </c>
      <c r="M943" s="1" t="s">
        <v>1347</v>
      </c>
      <c r="N943" s="1" t="s">
        <v>140</v>
      </c>
      <c r="O943">
        <v>9</v>
      </c>
      <c r="P943" s="3">
        <v>44824</v>
      </c>
      <c r="Q943">
        <v>38</v>
      </c>
    </row>
    <row r="944" spans="1:17" x14ac:dyDescent="0.3">
      <c r="A944" s="1" t="s">
        <v>1348</v>
      </c>
      <c r="B944" s="2">
        <v>44824.39166666667</v>
      </c>
      <c r="C944" s="1" t="s">
        <v>37</v>
      </c>
      <c r="D944" s="1" t="s">
        <v>44</v>
      </c>
      <c r="E944" s="1" t="s">
        <v>45</v>
      </c>
      <c r="F944" s="1" t="s">
        <v>77</v>
      </c>
      <c r="G944" s="1" t="s">
        <v>77</v>
      </c>
      <c r="H944" s="1" t="s">
        <v>77</v>
      </c>
      <c r="I944" s="1" t="s">
        <v>77</v>
      </c>
      <c r="J944" s="1" t="s">
        <v>77</v>
      </c>
      <c r="K944" s="1" t="s">
        <v>77</v>
      </c>
      <c r="L944">
        <v>20220920092420</v>
      </c>
      <c r="M944" s="1" t="s">
        <v>1349</v>
      </c>
      <c r="N944" s="1" t="s">
        <v>140</v>
      </c>
      <c r="O944">
        <v>9</v>
      </c>
      <c r="P944" s="3">
        <v>44824</v>
      </c>
      <c r="Q944">
        <v>38</v>
      </c>
    </row>
    <row r="945" spans="1:17" x14ac:dyDescent="0.3">
      <c r="A945" s="1" t="s">
        <v>1350</v>
      </c>
      <c r="B945" s="2">
        <v>44824.397222222222</v>
      </c>
      <c r="C945" s="1" t="s">
        <v>37</v>
      </c>
      <c r="D945" s="1" t="s">
        <v>53</v>
      </c>
      <c r="E945" s="1" t="s">
        <v>54</v>
      </c>
      <c r="F945" s="1" t="s">
        <v>77</v>
      </c>
      <c r="G945" s="1" t="s">
        <v>77</v>
      </c>
      <c r="H945" s="1" t="s">
        <v>77</v>
      </c>
      <c r="I945" s="1" t="s">
        <v>77</v>
      </c>
      <c r="J945" s="1" t="s">
        <v>77</v>
      </c>
      <c r="K945" s="1" t="s">
        <v>77</v>
      </c>
      <c r="L945">
        <v>20220920093209</v>
      </c>
      <c r="M945" s="1" t="s">
        <v>1351</v>
      </c>
      <c r="N945" s="1" t="s">
        <v>140</v>
      </c>
      <c r="O945">
        <v>9</v>
      </c>
      <c r="P945" s="3">
        <v>44824</v>
      </c>
      <c r="Q945">
        <v>38</v>
      </c>
    </row>
    <row r="946" spans="1:17" x14ac:dyDescent="0.3">
      <c r="A946" s="1" t="s">
        <v>1350</v>
      </c>
      <c r="B946" s="2">
        <v>44824.397222222222</v>
      </c>
      <c r="C946" s="1" t="s">
        <v>37</v>
      </c>
      <c r="D946" s="1" t="s">
        <v>19</v>
      </c>
      <c r="E946" s="1" t="s">
        <v>58</v>
      </c>
      <c r="F946" s="1" t="s">
        <v>77</v>
      </c>
      <c r="G946" s="1" t="s">
        <v>77</v>
      </c>
      <c r="H946" s="1" t="s">
        <v>77</v>
      </c>
      <c r="I946" s="1" t="s">
        <v>77</v>
      </c>
      <c r="J946" s="1" t="s">
        <v>77</v>
      </c>
      <c r="K946" s="1" t="s">
        <v>77</v>
      </c>
      <c r="L946">
        <v>20220920093215</v>
      </c>
      <c r="M946" s="1" t="s">
        <v>1352</v>
      </c>
      <c r="N946" s="1" t="s">
        <v>140</v>
      </c>
      <c r="O946">
        <v>9</v>
      </c>
      <c r="P946" s="3">
        <v>44824</v>
      </c>
      <c r="Q946">
        <v>38</v>
      </c>
    </row>
    <row r="947" spans="1:17" x14ac:dyDescent="0.3">
      <c r="A947" s="1" t="s">
        <v>1350</v>
      </c>
      <c r="B947" s="2">
        <v>44824.397222222222</v>
      </c>
      <c r="C947" s="1" t="s">
        <v>37</v>
      </c>
      <c r="D947" s="1" t="s">
        <v>60</v>
      </c>
      <c r="E947" s="1" t="s">
        <v>61</v>
      </c>
      <c r="F947" s="1" t="s">
        <v>77</v>
      </c>
      <c r="G947" s="1" t="s">
        <v>77</v>
      </c>
      <c r="H947" s="1" t="s">
        <v>77</v>
      </c>
      <c r="I947" s="1" t="s">
        <v>77</v>
      </c>
      <c r="J947" s="1" t="s">
        <v>77</v>
      </c>
      <c r="K947" s="1" t="s">
        <v>77</v>
      </c>
      <c r="L947">
        <v>20220920093223</v>
      </c>
      <c r="M947" s="1" t="s">
        <v>1353</v>
      </c>
      <c r="N947" s="1" t="s">
        <v>140</v>
      </c>
      <c r="O947">
        <v>9</v>
      </c>
      <c r="P947" s="3">
        <v>44824</v>
      </c>
      <c r="Q947">
        <v>38</v>
      </c>
    </row>
    <row r="948" spans="1:17" x14ac:dyDescent="0.3">
      <c r="A948" s="1" t="s">
        <v>1350</v>
      </c>
      <c r="B948" s="2">
        <v>44824.397222222222</v>
      </c>
      <c r="C948" s="1" t="s">
        <v>37</v>
      </c>
      <c r="D948" s="1" t="s">
        <v>29</v>
      </c>
      <c r="E948" s="1" t="s">
        <v>30</v>
      </c>
      <c r="F948" s="1" t="s">
        <v>77</v>
      </c>
      <c r="G948" s="1" t="s">
        <v>77</v>
      </c>
      <c r="H948" s="1" t="s">
        <v>77</v>
      </c>
      <c r="I948" s="1" t="s">
        <v>77</v>
      </c>
      <c r="J948" s="1" t="s">
        <v>77</v>
      </c>
      <c r="K948" s="1" t="s">
        <v>77</v>
      </c>
      <c r="L948">
        <v>20220920093233</v>
      </c>
      <c r="M948" s="1" t="s">
        <v>1354</v>
      </c>
      <c r="N948" s="1" t="s">
        <v>140</v>
      </c>
      <c r="O948">
        <v>9</v>
      </c>
      <c r="P948" s="3">
        <v>44824</v>
      </c>
      <c r="Q948">
        <v>38</v>
      </c>
    </row>
    <row r="949" spans="1:17" x14ac:dyDescent="0.3">
      <c r="A949" s="1" t="s">
        <v>1350</v>
      </c>
      <c r="B949" s="2">
        <v>44824.397222222222</v>
      </c>
      <c r="C949" s="1" t="s">
        <v>37</v>
      </c>
      <c r="D949" s="1" t="s">
        <v>29</v>
      </c>
      <c r="E949" s="1" t="s">
        <v>554</v>
      </c>
      <c r="F949" s="1" t="s">
        <v>77</v>
      </c>
      <c r="G949" s="1" t="s">
        <v>77</v>
      </c>
      <c r="H949" s="1" t="s">
        <v>77</v>
      </c>
      <c r="I949" s="1" t="s">
        <v>77</v>
      </c>
      <c r="J949" s="1" t="s">
        <v>77</v>
      </c>
      <c r="K949" s="1" t="s">
        <v>77</v>
      </c>
      <c r="L949">
        <v>20220920093240</v>
      </c>
      <c r="M949" s="1" t="s">
        <v>1355</v>
      </c>
      <c r="N949" s="1" t="s">
        <v>140</v>
      </c>
      <c r="O949">
        <v>9</v>
      </c>
      <c r="P949" s="3">
        <v>44824</v>
      </c>
      <c r="Q949">
        <v>38</v>
      </c>
    </row>
    <row r="950" spans="1:17" x14ac:dyDescent="0.3">
      <c r="A950" s="1" t="s">
        <v>1350</v>
      </c>
      <c r="B950" s="2">
        <v>44824.397222222222</v>
      </c>
      <c r="C950" s="1" t="s">
        <v>434</v>
      </c>
      <c r="D950" s="1" t="s">
        <v>53</v>
      </c>
      <c r="E950" s="1" t="s">
        <v>77</v>
      </c>
      <c r="F950" s="1" t="s">
        <v>77</v>
      </c>
      <c r="G950" s="1" t="s">
        <v>77</v>
      </c>
      <c r="H950" s="1" t="s">
        <v>56</v>
      </c>
      <c r="I950" s="1" t="s">
        <v>435</v>
      </c>
      <c r="J950" s="1" t="s">
        <v>77</v>
      </c>
      <c r="K950" s="1" t="s">
        <v>77</v>
      </c>
      <c r="L950">
        <v>20220920093247</v>
      </c>
      <c r="M950" s="1" t="s">
        <v>1356</v>
      </c>
      <c r="N950" s="1" t="s">
        <v>140</v>
      </c>
      <c r="O950">
        <v>9</v>
      </c>
      <c r="P950" s="3">
        <v>44824</v>
      </c>
      <c r="Q950">
        <v>38</v>
      </c>
    </row>
    <row r="951" spans="1:17" x14ac:dyDescent="0.3">
      <c r="A951" s="1" t="s">
        <v>1357</v>
      </c>
      <c r="B951" s="2">
        <v>44824.397916666669</v>
      </c>
      <c r="C951" s="1" t="s">
        <v>168</v>
      </c>
      <c r="D951" s="1" t="s">
        <v>47</v>
      </c>
      <c r="E951" s="1" t="s">
        <v>77</v>
      </c>
      <c r="F951" s="1" t="s">
        <v>536</v>
      </c>
      <c r="G951" s="1" t="s">
        <v>1358</v>
      </c>
      <c r="H951" s="1" t="s">
        <v>77</v>
      </c>
      <c r="I951" s="1" t="s">
        <v>77</v>
      </c>
      <c r="J951" s="1" t="s">
        <v>77</v>
      </c>
      <c r="K951" s="1" t="s">
        <v>77</v>
      </c>
      <c r="L951">
        <v>20220920093300</v>
      </c>
      <c r="M951" s="1" t="s">
        <v>1359</v>
      </c>
      <c r="N951" s="1" t="s">
        <v>140</v>
      </c>
      <c r="O951">
        <v>9</v>
      </c>
      <c r="P951" s="3">
        <v>44824</v>
      </c>
      <c r="Q951">
        <v>38</v>
      </c>
    </row>
    <row r="952" spans="1:17" x14ac:dyDescent="0.3">
      <c r="A952" s="1" t="s">
        <v>1360</v>
      </c>
      <c r="B952" s="2">
        <v>44824.398611111108</v>
      </c>
      <c r="C952" s="1" t="s">
        <v>18</v>
      </c>
      <c r="D952" s="1" t="s">
        <v>47</v>
      </c>
      <c r="E952" s="1" t="s">
        <v>77</v>
      </c>
      <c r="F952" s="1" t="s">
        <v>77</v>
      </c>
      <c r="G952" s="1" t="s">
        <v>77</v>
      </c>
      <c r="H952" s="1" t="s">
        <v>77</v>
      </c>
      <c r="I952" s="1" t="s">
        <v>77</v>
      </c>
      <c r="J952" s="1" t="s">
        <v>48</v>
      </c>
      <c r="K952" s="1" t="s">
        <v>1340</v>
      </c>
      <c r="L952">
        <v>20220920093402</v>
      </c>
      <c r="M952" s="1" t="s">
        <v>1361</v>
      </c>
      <c r="N952" s="1" t="s">
        <v>140</v>
      </c>
      <c r="O952">
        <v>9</v>
      </c>
      <c r="P952" s="3">
        <v>44824</v>
      </c>
      <c r="Q952">
        <v>38</v>
      </c>
    </row>
    <row r="953" spans="1:17" x14ac:dyDescent="0.3">
      <c r="A953" s="1" t="s">
        <v>1360</v>
      </c>
      <c r="B953" s="2">
        <v>44824.398611111108</v>
      </c>
      <c r="C953" s="1" t="s">
        <v>37</v>
      </c>
      <c r="D953" s="1" t="s">
        <v>47</v>
      </c>
      <c r="E953" s="1" t="s">
        <v>51</v>
      </c>
      <c r="F953" s="1" t="s">
        <v>77</v>
      </c>
      <c r="G953" s="1" t="s">
        <v>77</v>
      </c>
      <c r="H953" s="1" t="s">
        <v>77</v>
      </c>
      <c r="I953" s="1" t="s">
        <v>77</v>
      </c>
      <c r="J953" s="1" t="s">
        <v>20</v>
      </c>
      <c r="K953" s="1" t="s">
        <v>20</v>
      </c>
      <c r="L953">
        <v>20220920093416</v>
      </c>
      <c r="M953" s="1" t="s">
        <v>1362</v>
      </c>
      <c r="N953" s="1" t="s">
        <v>140</v>
      </c>
      <c r="O953">
        <v>9</v>
      </c>
      <c r="P953" s="3">
        <v>44824</v>
      </c>
      <c r="Q953">
        <v>38</v>
      </c>
    </row>
    <row r="954" spans="1:17" x14ac:dyDescent="0.3">
      <c r="A954" s="1" t="s">
        <v>1368</v>
      </c>
      <c r="B954" s="2">
        <v>44825.365277777775</v>
      </c>
      <c r="C954" s="1" t="s">
        <v>37</v>
      </c>
      <c r="D954" s="1" t="s">
        <v>26</v>
      </c>
      <c r="E954" s="1" t="s">
        <v>27</v>
      </c>
      <c r="F954" s="1" t="s">
        <v>77</v>
      </c>
      <c r="G954" s="1" t="s">
        <v>77</v>
      </c>
      <c r="H954" s="1" t="s">
        <v>77</v>
      </c>
      <c r="I954" s="1" t="s">
        <v>77</v>
      </c>
      <c r="J954" s="1" t="s">
        <v>77</v>
      </c>
      <c r="K954" s="1" t="s">
        <v>77</v>
      </c>
      <c r="L954">
        <v>20220921084636</v>
      </c>
      <c r="M954" s="1" t="s">
        <v>1369</v>
      </c>
      <c r="N954" s="1" t="s">
        <v>24</v>
      </c>
      <c r="O954">
        <v>9</v>
      </c>
      <c r="P954" s="3">
        <v>44825</v>
      </c>
      <c r="Q954">
        <v>38</v>
      </c>
    </row>
    <row r="955" spans="1:17" x14ac:dyDescent="0.3">
      <c r="A955" s="1" t="s">
        <v>1368</v>
      </c>
      <c r="B955" s="2">
        <v>44825.365972222222</v>
      </c>
      <c r="C955" s="1" t="s">
        <v>37</v>
      </c>
      <c r="D955" s="1" t="s">
        <v>195</v>
      </c>
      <c r="E955" s="1" t="s">
        <v>21</v>
      </c>
      <c r="F955" s="1" t="s">
        <v>77</v>
      </c>
      <c r="G955" s="1" t="s">
        <v>77</v>
      </c>
      <c r="H955" s="1" t="s">
        <v>77</v>
      </c>
      <c r="I955" s="1" t="s">
        <v>77</v>
      </c>
      <c r="J955" s="1" t="s">
        <v>77</v>
      </c>
      <c r="K955" s="1" t="s">
        <v>77</v>
      </c>
      <c r="L955">
        <v>20220921084657</v>
      </c>
      <c r="M955" s="1" t="s">
        <v>1370</v>
      </c>
      <c r="N955" s="1" t="s">
        <v>24</v>
      </c>
      <c r="O955">
        <v>9</v>
      </c>
      <c r="P955" s="3">
        <v>44825</v>
      </c>
      <c r="Q955">
        <v>38</v>
      </c>
    </row>
    <row r="956" spans="1:17" x14ac:dyDescent="0.3">
      <c r="A956" s="1" t="s">
        <v>1371</v>
      </c>
      <c r="B956" s="2">
        <v>44825.365972222222</v>
      </c>
      <c r="C956" s="1" t="s">
        <v>37</v>
      </c>
      <c r="D956" s="1" t="s">
        <v>38</v>
      </c>
      <c r="E956" s="1" t="s">
        <v>39</v>
      </c>
      <c r="F956" s="1" t="s">
        <v>77</v>
      </c>
      <c r="G956" s="1" t="s">
        <v>77</v>
      </c>
      <c r="H956" s="1" t="s">
        <v>77</v>
      </c>
      <c r="I956" s="1" t="s">
        <v>77</v>
      </c>
      <c r="J956" s="1" t="s">
        <v>77</v>
      </c>
      <c r="K956" s="1" t="s">
        <v>77</v>
      </c>
      <c r="L956">
        <v>20220921084704</v>
      </c>
      <c r="M956" s="1" t="s">
        <v>1372</v>
      </c>
      <c r="N956" s="1" t="s">
        <v>24</v>
      </c>
      <c r="O956">
        <v>9</v>
      </c>
      <c r="P956" s="3">
        <v>44825</v>
      </c>
      <c r="Q956">
        <v>38</v>
      </c>
    </row>
    <row r="957" spans="1:17" x14ac:dyDescent="0.3">
      <c r="A957" s="1" t="s">
        <v>1371</v>
      </c>
      <c r="B957" s="2">
        <v>44825.365972222222</v>
      </c>
      <c r="C957" s="1" t="s">
        <v>37</v>
      </c>
      <c r="D957" s="1" t="s">
        <v>41</v>
      </c>
      <c r="E957" s="1" t="s">
        <v>42</v>
      </c>
      <c r="F957" s="1" t="s">
        <v>77</v>
      </c>
      <c r="G957" s="1" t="s">
        <v>77</v>
      </c>
      <c r="H957" s="1" t="s">
        <v>77</v>
      </c>
      <c r="I957" s="1" t="s">
        <v>77</v>
      </c>
      <c r="J957" s="1" t="s">
        <v>77</v>
      </c>
      <c r="K957" s="1" t="s">
        <v>77</v>
      </c>
      <c r="L957">
        <v>20220921084711</v>
      </c>
      <c r="M957" s="1" t="s">
        <v>1373</v>
      </c>
      <c r="N957" s="1" t="s">
        <v>24</v>
      </c>
      <c r="O957">
        <v>9</v>
      </c>
      <c r="P957" s="3">
        <v>44825</v>
      </c>
      <c r="Q957">
        <v>38</v>
      </c>
    </row>
    <row r="958" spans="1:17" x14ac:dyDescent="0.3">
      <c r="A958" s="1" t="s">
        <v>1371</v>
      </c>
      <c r="B958" s="2">
        <v>44825.365972222222</v>
      </c>
      <c r="C958" s="1" t="s">
        <v>37</v>
      </c>
      <c r="D958" s="1" t="s">
        <v>44</v>
      </c>
      <c r="E958" s="1" t="s">
        <v>45</v>
      </c>
      <c r="F958" s="1" t="s">
        <v>77</v>
      </c>
      <c r="G958" s="1" t="s">
        <v>77</v>
      </c>
      <c r="H958" s="1" t="s">
        <v>77</v>
      </c>
      <c r="I958" s="1" t="s">
        <v>77</v>
      </c>
      <c r="J958" s="1" t="s">
        <v>77</v>
      </c>
      <c r="K958" s="1" t="s">
        <v>77</v>
      </c>
      <c r="L958">
        <v>20220921084719</v>
      </c>
      <c r="M958" s="1" t="s">
        <v>1374</v>
      </c>
      <c r="N958" s="1" t="s">
        <v>24</v>
      </c>
      <c r="O958">
        <v>9</v>
      </c>
      <c r="P958" s="3">
        <v>44825</v>
      </c>
      <c r="Q958">
        <v>38</v>
      </c>
    </row>
    <row r="959" spans="1:17" x14ac:dyDescent="0.3">
      <c r="A959" s="1" t="s">
        <v>1371</v>
      </c>
      <c r="B959" s="2">
        <v>44825.365972222222</v>
      </c>
      <c r="C959" s="1" t="s">
        <v>37</v>
      </c>
      <c r="D959" s="1" t="s">
        <v>47</v>
      </c>
      <c r="E959" s="1" t="s">
        <v>51</v>
      </c>
      <c r="F959" s="1" t="s">
        <v>77</v>
      </c>
      <c r="G959" s="1" t="s">
        <v>77</v>
      </c>
      <c r="H959" s="1" t="s">
        <v>77</v>
      </c>
      <c r="I959" s="1" t="s">
        <v>77</v>
      </c>
      <c r="J959" s="1" t="s">
        <v>77</v>
      </c>
      <c r="K959" s="1" t="s">
        <v>77</v>
      </c>
      <c r="L959">
        <v>20220921084727</v>
      </c>
      <c r="M959" s="1" t="s">
        <v>1375</v>
      </c>
      <c r="N959" s="1" t="s">
        <v>24</v>
      </c>
      <c r="O959">
        <v>9</v>
      </c>
      <c r="P959" s="3">
        <v>44825</v>
      </c>
      <c r="Q959">
        <v>38</v>
      </c>
    </row>
    <row r="960" spans="1:17" x14ac:dyDescent="0.3">
      <c r="A960" s="1" t="s">
        <v>1371</v>
      </c>
      <c r="B960" s="2">
        <v>44825.365972222222</v>
      </c>
      <c r="C960" s="1" t="s">
        <v>37</v>
      </c>
      <c r="D960" s="1" t="s">
        <v>53</v>
      </c>
      <c r="E960" s="1" t="s">
        <v>54</v>
      </c>
      <c r="F960" s="1" t="s">
        <v>77</v>
      </c>
      <c r="G960" s="1" t="s">
        <v>77</v>
      </c>
      <c r="H960" s="1" t="s">
        <v>77</v>
      </c>
      <c r="I960" s="1" t="s">
        <v>77</v>
      </c>
      <c r="J960" s="1" t="s">
        <v>77</v>
      </c>
      <c r="K960" s="1" t="s">
        <v>77</v>
      </c>
      <c r="L960">
        <v>20220921084735</v>
      </c>
      <c r="M960" s="1" t="s">
        <v>1376</v>
      </c>
      <c r="N960" s="1" t="s">
        <v>24</v>
      </c>
      <c r="O960">
        <v>9</v>
      </c>
      <c r="P960" s="3">
        <v>44825</v>
      </c>
      <c r="Q960">
        <v>38</v>
      </c>
    </row>
    <row r="961" spans="1:17" x14ac:dyDescent="0.3">
      <c r="A961" s="1" t="s">
        <v>1371</v>
      </c>
      <c r="B961" s="2">
        <v>44825.365972222222</v>
      </c>
      <c r="C961" s="1" t="s">
        <v>37</v>
      </c>
      <c r="D961" s="1" t="s">
        <v>19</v>
      </c>
      <c r="E961" s="1" t="s">
        <v>58</v>
      </c>
      <c r="F961" s="1" t="s">
        <v>77</v>
      </c>
      <c r="G961" s="1" t="s">
        <v>77</v>
      </c>
      <c r="H961" s="1" t="s">
        <v>77</v>
      </c>
      <c r="I961" s="1" t="s">
        <v>77</v>
      </c>
      <c r="J961" s="1" t="s">
        <v>77</v>
      </c>
      <c r="K961" s="1" t="s">
        <v>77</v>
      </c>
      <c r="L961">
        <v>20220921084743</v>
      </c>
      <c r="M961" s="1" t="s">
        <v>1377</v>
      </c>
      <c r="N961" s="1" t="s">
        <v>24</v>
      </c>
      <c r="O961">
        <v>9</v>
      </c>
      <c r="P961" s="3">
        <v>44825</v>
      </c>
      <c r="Q961">
        <v>38</v>
      </c>
    </row>
    <row r="962" spans="1:17" x14ac:dyDescent="0.3">
      <c r="A962" s="1" t="s">
        <v>1371</v>
      </c>
      <c r="B962" s="2">
        <v>44825.365972222222</v>
      </c>
      <c r="C962" s="1" t="s">
        <v>37</v>
      </c>
      <c r="D962" s="1" t="s">
        <v>60</v>
      </c>
      <c r="E962" s="1" t="s">
        <v>61</v>
      </c>
      <c r="F962" s="1" t="s">
        <v>77</v>
      </c>
      <c r="G962" s="1" t="s">
        <v>77</v>
      </c>
      <c r="H962" s="1" t="s">
        <v>77</v>
      </c>
      <c r="I962" s="1" t="s">
        <v>77</v>
      </c>
      <c r="J962" s="1" t="s">
        <v>77</v>
      </c>
      <c r="K962" s="1" t="s">
        <v>77</v>
      </c>
      <c r="L962">
        <v>20220921084749</v>
      </c>
      <c r="M962" s="1" t="s">
        <v>1378</v>
      </c>
      <c r="N962" s="1" t="s">
        <v>24</v>
      </c>
      <c r="O962">
        <v>9</v>
      </c>
      <c r="P962" s="3">
        <v>44825</v>
      </c>
      <c r="Q962">
        <v>38</v>
      </c>
    </row>
    <row r="963" spans="1:17" x14ac:dyDescent="0.3">
      <c r="A963" s="1" t="s">
        <v>1371</v>
      </c>
      <c r="B963" s="2">
        <v>44825.366666666669</v>
      </c>
      <c r="C963" s="1" t="s">
        <v>434</v>
      </c>
      <c r="D963" s="1" t="s">
        <v>53</v>
      </c>
      <c r="E963" s="1" t="s">
        <v>77</v>
      </c>
      <c r="F963" s="1" t="s">
        <v>77</v>
      </c>
      <c r="G963" s="1" t="s">
        <v>77</v>
      </c>
      <c r="H963" s="1" t="s">
        <v>56</v>
      </c>
      <c r="I963" s="1" t="s">
        <v>435</v>
      </c>
      <c r="J963" s="1" t="s">
        <v>77</v>
      </c>
      <c r="K963" s="1" t="s">
        <v>77</v>
      </c>
      <c r="L963">
        <v>20220921084758</v>
      </c>
      <c r="M963" s="1" t="s">
        <v>1379</v>
      </c>
      <c r="N963" s="1" t="s">
        <v>24</v>
      </c>
      <c r="O963">
        <v>9</v>
      </c>
      <c r="P963" s="3">
        <v>44825</v>
      </c>
      <c r="Q963">
        <v>38</v>
      </c>
    </row>
    <row r="964" spans="1:17" x14ac:dyDescent="0.3">
      <c r="A964" s="1" t="s">
        <v>1380</v>
      </c>
      <c r="B964" s="2">
        <v>44825.366666666669</v>
      </c>
      <c r="C964" s="1" t="s">
        <v>18</v>
      </c>
      <c r="D964" s="1" t="s">
        <v>29</v>
      </c>
      <c r="E964" s="1" t="s">
        <v>77</v>
      </c>
      <c r="F964" s="1" t="s">
        <v>77</v>
      </c>
      <c r="G964" s="1" t="s">
        <v>77</v>
      </c>
      <c r="H964" s="1" t="s">
        <v>77</v>
      </c>
      <c r="I964" s="1" t="s">
        <v>77</v>
      </c>
      <c r="J964" s="1" t="s">
        <v>30</v>
      </c>
      <c r="K964" s="1" t="s">
        <v>175</v>
      </c>
      <c r="L964">
        <v>20220921084808</v>
      </c>
      <c r="M964" s="1" t="s">
        <v>1381</v>
      </c>
      <c r="N964" s="1" t="s">
        <v>24</v>
      </c>
      <c r="O964">
        <v>9</v>
      </c>
      <c r="P964" s="3">
        <v>44825</v>
      </c>
      <c r="Q964">
        <v>38</v>
      </c>
    </row>
    <row r="965" spans="1:17" x14ac:dyDescent="0.3">
      <c r="A965" s="1" t="s">
        <v>1380</v>
      </c>
      <c r="B965" s="2">
        <v>44825.366666666669</v>
      </c>
      <c r="C965" s="1" t="s">
        <v>18</v>
      </c>
      <c r="D965" s="1" t="s">
        <v>29</v>
      </c>
      <c r="E965" s="1" t="s">
        <v>77</v>
      </c>
      <c r="F965" s="1" t="s">
        <v>77</v>
      </c>
      <c r="G965" s="1" t="s">
        <v>77</v>
      </c>
      <c r="H965" s="1" t="s">
        <v>77</v>
      </c>
      <c r="I965" s="1" t="s">
        <v>77</v>
      </c>
      <c r="J965" s="1" t="s">
        <v>554</v>
      </c>
      <c r="K965" s="1" t="s">
        <v>175</v>
      </c>
      <c r="L965">
        <v>20220921084816</v>
      </c>
      <c r="M965" s="1" t="s">
        <v>1382</v>
      </c>
      <c r="N965" s="1" t="s">
        <v>24</v>
      </c>
      <c r="O965">
        <v>9</v>
      </c>
      <c r="P965" s="3">
        <v>44825</v>
      </c>
      <c r="Q965">
        <v>38</v>
      </c>
    </row>
    <row r="966" spans="1:17" x14ac:dyDescent="0.3">
      <c r="A966" s="1" t="s">
        <v>1380</v>
      </c>
      <c r="B966" s="2">
        <v>44825.366666666669</v>
      </c>
      <c r="C966" s="1" t="s">
        <v>18</v>
      </c>
      <c r="D966" s="1" t="s">
        <v>47</v>
      </c>
      <c r="E966" s="1" t="s">
        <v>77</v>
      </c>
      <c r="F966" s="1" t="s">
        <v>77</v>
      </c>
      <c r="G966" s="1" t="s">
        <v>77</v>
      </c>
      <c r="H966" s="1" t="s">
        <v>77</v>
      </c>
      <c r="I966" s="1" t="s">
        <v>77</v>
      </c>
      <c r="J966" s="1" t="s">
        <v>48</v>
      </c>
      <c r="K966" s="1" t="s">
        <v>1340</v>
      </c>
      <c r="L966">
        <v>20220921084830</v>
      </c>
      <c r="M966" s="1" t="s">
        <v>1383</v>
      </c>
      <c r="N966" s="1" t="s">
        <v>24</v>
      </c>
      <c r="O966">
        <v>9</v>
      </c>
      <c r="P966" s="3">
        <v>44825</v>
      </c>
      <c r="Q966">
        <v>38</v>
      </c>
    </row>
    <row r="967" spans="1:17" x14ac:dyDescent="0.3">
      <c r="A967" s="1" t="s">
        <v>1380</v>
      </c>
      <c r="B967" s="2">
        <v>44825.367361111108</v>
      </c>
      <c r="C967" s="1" t="s">
        <v>37</v>
      </c>
      <c r="D967" s="1" t="s">
        <v>47</v>
      </c>
      <c r="E967" s="1" t="s">
        <v>536</v>
      </c>
      <c r="F967" s="1" t="s">
        <v>20</v>
      </c>
      <c r="G967" s="1" t="s">
        <v>20</v>
      </c>
      <c r="H967" s="1" t="s">
        <v>77</v>
      </c>
      <c r="I967" s="1" t="s">
        <v>77</v>
      </c>
      <c r="J967" s="1" t="s">
        <v>77</v>
      </c>
      <c r="K967" s="1" t="s">
        <v>77</v>
      </c>
      <c r="L967">
        <v>20220921084848</v>
      </c>
      <c r="M967" s="1" t="s">
        <v>1384</v>
      </c>
      <c r="N967" s="1" t="s">
        <v>24</v>
      </c>
      <c r="O967">
        <v>9</v>
      </c>
      <c r="P967" s="3">
        <v>44825</v>
      </c>
      <c r="Q967">
        <v>38</v>
      </c>
    </row>
    <row r="968" spans="1:17" x14ac:dyDescent="0.3">
      <c r="A968" s="1" t="s">
        <v>1402</v>
      </c>
      <c r="B968" s="2">
        <v>44826.367361111108</v>
      </c>
      <c r="C968" s="1" t="s">
        <v>37</v>
      </c>
      <c r="D968" s="1" t="s">
        <v>26</v>
      </c>
      <c r="E968" s="1" t="s">
        <v>27</v>
      </c>
      <c r="F968" s="1" t="s">
        <v>77</v>
      </c>
      <c r="G968" s="1" t="s">
        <v>77</v>
      </c>
      <c r="H968" s="1" t="s">
        <v>77</v>
      </c>
      <c r="I968" s="1" t="s">
        <v>77</v>
      </c>
      <c r="J968" s="1" t="s">
        <v>77</v>
      </c>
      <c r="K968" s="1" t="s">
        <v>77</v>
      </c>
      <c r="L968">
        <v>20220922084935</v>
      </c>
      <c r="M968" s="1" t="s">
        <v>1403</v>
      </c>
      <c r="N968" s="1" t="s">
        <v>65</v>
      </c>
      <c r="O968">
        <v>9</v>
      </c>
      <c r="P968" s="3">
        <v>44826</v>
      </c>
      <c r="Q968">
        <v>38</v>
      </c>
    </row>
    <row r="969" spans="1:17" x14ac:dyDescent="0.3">
      <c r="A969" s="1" t="s">
        <v>1402</v>
      </c>
      <c r="B969" s="2">
        <v>44826.367361111108</v>
      </c>
      <c r="C969" s="1" t="s">
        <v>37</v>
      </c>
      <c r="D969" s="1" t="s">
        <v>195</v>
      </c>
      <c r="E969" s="1" t="s">
        <v>21</v>
      </c>
      <c r="F969" s="1" t="s">
        <v>77</v>
      </c>
      <c r="G969" s="1" t="s">
        <v>77</v>
      </c>
      <c r="H969" s="1" t="s">
        <v>77</v>
      </c>
      <c r="I969" s="1" t="s">
        <v>77</v>
      </c>
      <c r="J969" s="1" t="s">
        <v>77</v>
      </c>
      <c r="K969" s="1" t="s">
        <v>77</v>
      </c>
      <c r="L969">
        <v>20220922084942</v>
      </c>
      <c r="M969" s="1" t="s">
        <v>1404</v>
      </c>
      <c r="N969" s="1" t="s">
        <v>65</v>
      </c>
      <c r="O969">
        <v>9</v>
      </c>
      <c r="P969" s="3">
        <v>44826</v>
      </c>
      <c r="Q969">
        <v>38</v>
      </c>
    </row>
    <row r="970" spans="1:17" x14ac:dyDescent="0.3">
      <c r="A970" s="1" t="s">
        <v>1402</v>
      </c>
      <c r="B970" s="2">
        <v>44826.367361111108</v>
      </c>
      <c r="C970" s="1" t="s">
        <v>37</v>
      </c>
      <c r="D970" s="1" t="s">
        <v>38</v>
      </c>
      <c r="E970" s="1" t="s">
        <v>39</v>
      </c>
      <c r="F970" s="1" t="s">
        <v>77</v>
      </c>
      <c r="G970" s="1" t="s">
        <v>77</v>
      </c>
      <c r="H970" s="1" t="s">
        <v>77</v>
      </c>
      <c r="I970" s="1" t="s">
        <v>77</v>
      </c>
      <c r="J970" s="1" t="s">
        <v>77</v>
      </c>
      <c r="K970" s="1" t="s">
        <v>77</v>
      </c>
      <c r="L970">
        <v>20220922084949</v>
      </c>
      <c r="M970" s="1" t="s">
        <v>1405</v>
      </c>
      <c r="N970" s="1" t="s">
        <v>65</v>
      </c>
      <c r="O970">
        <v>9</v>
      </c>
      <c r="P970" s="3">
        <v>44826</v>
      </c>
      <c r="Q970">
        <v>38</v>
      </c>
    </row>
    <row r="971" spans="1:17" x14ac:dyDescent="0.3">
      <c r="A971" s="1" t="s">
        <v>1406</v>
      </c>
      <c r="B971" s="2">
        <v>44826.368055555555</v>
      </c>
      <c r="C971" s="1" t="s">
        <v>37</v>
      </c>
      <c r="D971" s="1" t="s">
        <v>41</v>
      </c>
      <c r="E971" s="1" t="s">
        <v>42</v>
      </c>
      <c r="F971" s="1" t="s">
        <v>77</v>
      </c>
      <c r="G971" s="1" t="s">
        <v>77</v>
      </c>
      <c r="H971" s="1" t="s">
        <v>77</v>
      </c>
      <c r="I971" s="1" t="s">
        <v>77</v>
      </c>
      <c r="J971" s="1" t="s">
        <v>77</v>
      </c>
      <c r="K971" s="1" t="s">
        <v>77</v>
      </c>
      <c r="L971">
        <v>20220922085025</v>
      </c>
      <c r="M971" s="1" t="s">
        <v>1407</v>
      </c>
      <c r="N971" s="1" t="s">
        <v>65</v>
      </c>
      <c r="O971">
        <v>9</v>
      </c>
      <c r="P971" s="3">
        <v>44826</v>
      </c>
      <c r="Q971">
        <v>38</v>
      </c>
    </row>
    <row r="972" spans="1:17" x14ac:dyDescent="0.3">
      <c r="A972" s="1" t="s">
        <v>1406</v>
      </c>
      <c r="B972" s="2">
        <v>44826.368055555555</v>
      </c>
      <c r="C972" s="1" t="s">
        <v>37</v>
      </c>
      <c r="D972" s="1" t="s">
        <v>44</v>
      </c>
      <c r="E972" s="1" t="s">
        <v>45</v>
      </c>
      <c r="F972" s="1" t="s">
        <v>77</v>
      </c>
      <c r="G972" s="1" t="s">
        <v>77</v>
      </c>
      <c r="H972" s="1" t="s">
        <v>77</v>
      </c>
      <c r="I972" s="1" t="s">
        <v>77</v>
      </c>
      <c r="J972" s="1" t="s">
        <v>77</v>
      </c>
      <c r="K972" s="1" t="s">
        <v>77</v>
      </c>
      <c r="L972">
        <v>20220922085053</v>
      </c>
      <c r="M972" s="1" t="s">
        <v>1408</v>
      </c>
      <c r="N972" s="1" t="s">
        <v>65</v>
      </c>
      <c r="O972">
        <v>9</v>
      </c>
      <c r="P972" s="3">
        <v>44826</v>
      </c>
      <c r="Q972">
        <v>38</v>
      </c>
    </row>
    <row r="973" spans="1:17" x14ac:dyDescent="0.3">
      <c r="A973" s="1" t="s">
        <v>1409</v>
      </c>
      <c r="B973" s="2">
        <v>44826.368750000001</v>
      </c>
      <c r="C973" s="1" t="s">
        <v>37</v>
      </c>
      <c r="D973" s="1" t="s">
        <v>47</v>
      </c>
      <c r="E973" s="1" t="s">
        <v>51</v>
      </c>
      <c r="F973" s="1" t="s">
        <v>77</v>
      </c>
      <c r="G973" s="1" t="s">
        <v>77</v>
      </c>
      <c r="H973" s="1" t="s">
        <v>77</v>
      </c>
      <c r="I973" s="1" t="s">
        <v>77</v>
      </c>
      <c r="J973" s="1" t="s">
        <v>77</v>
      </c>
      <c r="K973" s="1" t="s">
        <v>77</v>
      </c>
      <c r="L973">
        <v>20220922085104</v>
      </c>
      <c r="M973" s="1" t="s">
        <v>1410</v>
      </c>
      <c r="N973" s="1" t="s">
        <v>65</v>
      </c>
      <c r="O973">
        <v>9</v>
      </c>
      <c r="P973" s="3">
        <v>44826</v>
      </c>
      <c r="Q973">
        <v>38</v>
      </c>
    </row>
    <row r="974" spans="1:17" x14ac:dyDescent="0.3">
      <c r="A974" s="1" t="s">
        <v>1409</v>
      </c>
      <c r="B974" s="2">
        <v>44826.368750000001</v>
      </c>
      <c r="C974" s="1" t="s">
        <v>37</v>
      </c>
      <c r="D974" s="1" t="s">
        <v>47</v>
      </c>
      <c r="E974" s="1" t="s">
        <v>536</v>
      </c>
      <c r="F974" s="1" t="s">
        <v>77</v>
      </c>
      <c r="G974" s="1" t="s">
        <v>77</v>
      </c>
      <c r="H974" s="1" t="s">
        <v>77</v>
      </c>
      <c r="I974" s="1" t="s">
        <v>77</v>
      </c>
      <c r="J974" s="1" t="s">
        <v>77</v>
      </c>
      <c r="K974" s="1" t="s">
        <v>77</v>
      </c>
      <c r="L974">
        <v>20220922085115</v>
      </c>
      <c r="M974" s="1" t="s">
        <v>1411</v>
      </c>
      <c r="N974" s="1" t="s">
        <v>65</v>
      </c>
      <c r="O974">
        <v>9</v>
      </c>
      <c r="P974" s="3">
        <v>44826</v>
      </c>
      <c r="Q974">
        <v>38</v>
      </c>
    </row>
    <row r="975" spans="1:17" x14ac:dyDescent="0.3">
      <c r="A975" s="1" t="s">
        <v>1409</v>
      </c>
      <c r="B975" s="2">
        <v>44826.368750000001</v>
      </c>
      <c r="C975" s="1" t="s">
        <v>37</v>
      </c>
      <c r="D975" s="1" t="s">
        <v>53</v>
      </c>
      <c r="E975" s="1" t="s">
        <v>54</v>
      </c>
      <c r="F975" s="1" t="s">
        <v>77</v>
      </c>
      <c r="G975" s="1" t="s">
        <v>77</v>
      </c>
      <c r="H975" s="1" t="s">
        <v>77</v>
      </c>
      <c r="I975" s="1" t="s">
        <v>77</v>
      </c>
      <c r="J975" s="1" t="s">
        <v>77</v>
      </c>
      <c r="K975" s="1" t="s">
        <v>77</v>
      </c>
      <c r="L975">
        <v>20220922085126</v>
      </c>
      <c r="M975" s="1" t="s">
        <v>1412</v>
      </c>
      <c r="N975" s="1" t="s">
        <v>65</v>
      </c>
      <c r="O975">
        <v>9</v>
      </c>
      <c r="P975" s="3">
        <v>44826</v>
      </c>
      <c r="Q975">
        <v>38</v>
      </c>
    </row>
    <row r="976" spans="1:17" x14ac:dyDescent="0.3">
      <c r="A976" s="1" t="s">
        <v>1409</v>
      </c>
      <c r="B976" s="2">
        <v>44826.368750000001</v>
      </c>
      <c r="C976" s="1" t="s">
        <v>37</v>
      </c>
      <c r="D976" s="1" t="s">
        <v>60</v>
      </c>
      <c r="E976" s="1" t="s">
        <v>61</v>
      </c>
      <c r="F976" s="1" t="s">
        <v>77</v>
      </c>
      <c r="G976" s="1" t="s">
        <v>77</v>
      </c>
      <c r="H976" s="1" t="s">
        <v>77</v>
      </c>
      <c r="I976" s="1" t="s">
        <v>77</v>
      </c>
      <c r="J976" s="1" t="s">
        <v>77</v>
      </c>
      <c r="K976" s="1" t="s">
        <v>77</v>
      </c>
      <c r="L976">
        <v>20220922085135</v>
      </c>
      <c r="M976" s="1" t="s">
        <v>1413</v>
      </c>
      <c r="N976" s="1" t="s">
        <v>65</v>
      </c>
      <c r="O976">
        <v>9</v>
      </c>
      <c r="P976" s="3">
        <v>44826</v>
      </c>
      <c r="Q976">
        <v>38</v>
      </c>
    </row>
    <row r="977" spans="1:17" x14ac:dyDescent="0.3">
      <c r="A977" s="1" t="s">
        <v>1409</v>
      </c>
      <c r="B977" s="2">
        <v>44826.369444444441</v>
      </c>
      <c r="C977" s="1" t="s">
        <v>37</v>
      </c>
      <c r="D977" s="1" t="s">
        <v>29</v>
      </c>
      <c r="E977" s="1" t="s">
        <v>30</v>
      </c>
      <c r="F977" s="1" t="s">
        <v>77</v>
      </c>
      <c r="G977" s="1" t="s">
        <v>77</v>
      </c>
      <c r="H977" s="1" t="s">
        <v>77</v>
      </c>
      <c r="I977" s="1" t="s">
        <v>77</v>
      </c>
      <c r="J977" s="1" t="s">
        <v>77</v>
      </c>
      <c r="K977" s="1" t="s">
        <v>77</v>
      </c>
      <c r="L977">
        <v>20220922085144</v>
      </c>
      <c r="M977" s="1" t="s">
        <v>1414</v>
      </c>
      <c r="N977" s="1" t="s">
        <v>65</v>
      </c>
      <c r="O977">
        <v>9</v>
      </c>
      <c r="P977" s="3">
        <v>44826</v>
      </c>
      <c r="Q977">
        <v>38</v>
      </c>
    </row>
    <row r="978" spans="1:17" x14ac:dyDescent="0.3">
      <c r="A978" s="1" t="s">
        <v>1415</v>
      </c>
      <c r="B978" s="2">
        <v>44826.369444444441</v>
      </c>
      <c r="C978" s="1" t="s">
        <v>37</v>
      </c>
      <c r="D978" s="1" t="s">
        <v>29</v>
      </c>
      <c r="E978" s="1" t="s">
        <v>554</v>
      </c>
      <c r="F978" s="1" t="s">
        <v>77</v>
      </c>
      <c r="G978" s="1" t="s">
        <v>77</v>
      </c>
      <c r="H978" s="1" t="s">
        <v>77</v>
      </c>
      <c r="I978" s="1" t="s">
        <v>77</v>
      </c>
      <c r="J978" s="1" t="s">
        <v>77</v>
      </c>
      <c r="K978" s="1" t="s">
        <v>77</v>
      </c>
      <c r="L978">
        <v>20220922085207</v>
      </c>
      <c r="M978" s="1" t="s">
        <v>1416</v>
      </c>
      <c r="N978" s="1" t="s">
        <v>65</v>
      </c>
      <c r="O978">
        <v>9</v>
      </c>
      <c r="P978" s="3">
        <v>44826</v>
      </c>
      <c r="Q978">
        <v>38</v>
      </c>
    </row>
    <row r="979" spans="1:17" x14ac:dyDescent="0.3">
      <c r="A979" s="1" t="s">
        <v>1415</v>
      </c>
      <c r="B979" s="2">
        <v>44826.369444444441</v>
      </c>
      <c r="C979" s="1" t="s">
        <v>434</v>
      </c>
      <c r="D979" s="1" t="s">
        <v>53</v>
      </c>
      <c r="E979" s="1" t="s">
        <v>77</v>
      </c>
      <c r="F979" s="1" t="s">
        <v>77</v>
      </c>
      <c r="G979" s="1" t="s">
        <v>77</v>
      </c>
      <c r="H979" s="1" t="s">
        <v>56</v>
      </c>
      <c r="I979" s="1" t="s">
        <v>435</v>
      </c>
      <c r="J979" s="1" t="s">
        <v>77</v>
      </c>
      <c r="K979" s="1" t="s">
        <v>77</v>
      </c>
      <c r="L979">
        <v>20220922085220</v>
      </c>
      <c r="M979" s="1" t="s">
        <v>1417</v>
      </c>
      <c r="N979" s="1" t="s">
        <v>65</v>
      </c>
      <c r="O979">
        <v>9</v>
      </c>
      <c r="P979" s="3">
        <v>44826</v>
      </c>
      <c r="Q979">
        <v>38</v>
      </c>
    </row>
    <row r="980" spans="1:17" x14ac:dyDescent="0.3">
      <c r="A980" s="1" t="s">
        <v>1415</v>
      </c>
      <c r="B980" s="2">
        <v>44826.369444444441</v>
      </c>
      <c r="C980" s="1" t="s">
        <v>18</v>
      </c>
      <c r="D980" s="1" t="s">
        <v>47</v>
      </c>
      <c r="E980" s="1" t="s">
        <v>77</v>
      </c>
      <c r="F980" s="1" t="s">
        <v>77</v>
      </c>
      <c r="G980" s="1" t="s">
        <v>77</v>
      </c>
      <c r="H980" s="1" t="s">
        <v>77</v>
      </c>
      <c r="I980" s="1" t="s">
        <v>77</v>
      </c>
      <c r="J980" s="1" t="s">
        <v>48</v>
      </c>
      <c r="K980" s="1" t="s">
        <v>1340</v>
      </c>
      <c r="L980">
        <v>20220922085243</v>
      </c>
      <c r="M980" s="1" t="s">
        <v>1418</v>
      </c>
      <c r="N980" s="1" t="s">
        <v>65</v>
      </c>
      <c r="O980">
        <v>9</v>
      </c>
      <c r="P980" s="3">
        <v>44826</v>
      </c>
      <c r="Q980">
        <v>38</v>
      </c>
    </row>
    <row r="981" spans="1:17" x14ac:dyDescent="0.3">
      <c r="A981" s="1" t="s">
        <v>1415</v>
      </c>
      <c r="B981" s="2">
        <v>44826.370138888888</v>
      </c>
      <c r="C981" s="1" t="s">
        <v>18</v>
      </c>
      <c r="D981" s="1" t="s">
        <v>19</v>
      </c>
      <c r="E981" s="1" t="s">
        <v>77</v>
      </c>
      <c r="F981" s="1" t="s">
        <v>77</v>
      </c>
      <c r="G981" s="1" t="s">
        <v>77</v>
      </c>
      <c r="H981" s="1" t="s">
        <v>77</v>
      </c>
      <c r="I981" s="1" t="s">
        <v>77</v>
      </c>
      <c r="J981" s="1" t="s">
        <v>58</v>
      </c>
      <c r="K981" s="1" t="s">
        <v>171</v>
      </c>
      <c r="L981">
        <v>20220922085257</v>
      </c>
      <c r="M981" s="1" t="s">
        <v>1419</v>
      </c>
      <c r="N981" s="1" t="s">
        <v>65</v>
      </c>
      <c r="O981">
        <v>9</v>
      </c>
      <c r="P981" s="3">
        <v>44826</v>
      </c>
      <c r="Q981">
        <v>38</v>
      </c>
    </row>
    <row r="982" spans="1:17" x14ac:dyDescent="0.3">
      <c r="A982" s="1" t="s">
        <v>1420</v>
      </c>
      <c r="B982" s="2">
        <v>44827.348611111112</v>
      </c>
      <c r="C982" s="1" t="s">
        <v>37</v>
      </c>
      <c r="D982" s="1" t="s">
        <v>26</v>
      </c>
      <c r="E982" s="1" t="s">
        <v>27</v>
      </c>
      <c r="F982" s="1" t="s">
        <v>77</v>
      </c>
      <c r="G982" s="1" t="s">
        <v>77</v>
      </c>
      <c r="H982" s="1" t="s">
        <v>77</v>
      </c>
      <c r="I982" s="1" t="s">
        <v>77</v>
      </c>
      <c r="J982" s="1" t="s">
        <v>77</v>
      </c>
      <c r="K982" s="1" t="s">
        <v>77</v>
      </c>
      <c r="L982">
        <v>20220923082229</v>
      </c>
      <c r="M982" s="1" t="s">
        <v>1421</v>
      </c>
      <c r="N982" s="1" t="s">
        <v>84</v>
      </c>
      <c r="O982">
        <v>9</v>
      </c>
      <c r="P982" s="3">
        <v>44827</v>
      </c>
      <c r="Q982">
        <v>38</v>
      </c>
    </row>
    <row r="983" spans="1:17" x14ac:dyDescent="0.3">
      <c r="A983" s="1" t="s">
        <v>1420</v>
      </c>
      <c r="B983" s="2">
        <v>44827.348611111112</v>
      </c>
      <c r="C983" s="1" t="s">
        <v>37</v>
      </c>
      <c r="D983" s="1" t="s">
        <v>195</v>
      </c>
      <c r="E983" s="1" t="s">
        <v>21</v>
      </c>
      <c r="F983" s="1" t="s">
        <v>77</v>
      </c>
      <c r="G983" s="1" t="s">
        <v>77</v>
      </c>
      <c r="H983" s="1" t="s">
        <v>77</v>
      </c>
      <c r="I983" s="1" t="s">
        <v>77</v>
      </c>
      <c r="J983" s="1" t="s">
        <v>77</v>
      </c>
      <c r="K983" s="1" t="s">
        <v>77</v>
      </c>
      <c r="L983">
        <v>20220923082237</v>
      </c>
      <c r="M983" s="1" t="s">
        <v>1422</v>
      </c>
      <c r="N983" s="1" t="s">
        <v>84</v>
      </c>
      <c r="O983">
        <v>9</v>
      </c>
      <c r="P983" s="3">
        <v>44827</v>
      </c>
      <c r="Q983">
        <v>38</v>
      </c>
    </row>
    <row r="984" spans="1:17" x14ac:dyDescent="0.3">
      <c r="A984" s="1" t="s">
        <v>1420</v>
      </c>
      <c r="B984" s="2">
        <v>44827.348611111112</v>
      </c>
      <c r="C984" s="1" t="s">
        <v>37</v>
      </c>
      <c r="D984" s="1" t="s">
        <v>38</v>
      </c>
      <c r="E984" s="1" t="s">
        <v>39</v>
      </c>
      <c r="F984" s="1" t="s">
        <v>77</v>
      </c>
      <c r="G984" s="1" t="s">
        <v>77</v>
      </c>
      <c r="H984" s="1" t="s">
        <v>77</v>
      </c>
      <c r="I984" s="1" t="s">
        <v>77</v>
      </c>
      <c r="J984" s="1" t="s">
        <v>77</v>
      </c>
      <c r="K984" s="1" t="s">
        <v>77</v>
      </c>
      <c r="L984">
        <v>20220923082245</v>
      </c>
      <c r="M984" s="1" t="s">
        <v>1423</v>
      </c>
      <c r="N984" s="1" t="s">
        <v>84</v>
      </c>
      <c r="O984">
        <v>9</v>
      </c>
      <c r="P984" s="3">
        <v>44827</v>
      </c>
      <c r="Q984">
        <v>38</v>
      </c>
    </row>
    <row r="985" spans="1:17" x14ac:dyDescent="0.3">
      <c r="A985" s="1" t="s">
        <v>1420</v>
      </c>
      <c r="B985" s="2">
        <v>44827.348611111112</v>
      </c>
      <c r="C985" s="1" t="s">
        <v>37</v>
      </c>
      <c r="D985" s="1" t="s">
        <v>41</v>
      </c>
      <c r="E985" s="1" t="s">
        <v>42</v>
      </c>
      <c r="F985" s="1" t="s">
        <v>77</v>
      </c>
      <c r="G985" s="1" t="s">
        <v>77</v>
      </c>
      <c r="H985" s="1" t="s">
        <v>77</v>
      </c>
      <c r="I985" s="1" t="s">
        <v>77</v>
      </c>
      <c r="J985" s="1" t="s">
        <v>77</v>
      </c>
      <c r="K985" s="1" t="s">
        <v>77</v>
      </c>
      <c r="L985">
        <v>20220923082252</v>
      </c>
      <c r="M985" s="1" t="s">
        <v>1424</v>
      </c>
      <c r="N985" s="1" t="s">
        <v>84</v>
      </c>
      <c r="O985">
        <v>9</v>
      </c>
      <c r="P985" s="3">
        <v>44827</v>
      </c>
      <c r="Q985">
        <v>38</v>
      </c>
    </row>
    <row r="986" spans="1:17" x14ac:dyDescent="0.3">
      <c r="A986" s="1" t="s">
        <v>1425</v>
      </c>
      <c r="B986" s="2">
        <v>44827.349305555559</v>
      </c>
      <c r="C986" s="1" t="s">
        <v>37</v>
      </c>
      <c r="D986" s="1" t="s">
        <v>44</v>
      </c>
      <c r="E986" s="1" t="s">
        <v>45</v>
      </c>
      <c r="F986" s="1" t="s">
        <v>77</v>
      </c>
      <c r="G986" s="1" t="s">
        <v>77</v>
      </c>
      <c r="H986" s="1" t="s">
        <v>77</v>
      </c>
      <c r="I986" s="1" t="s">
        <v>77</v>
      </c>
      <c r="J986" s="1" t="s">
        <v>77</v>
      </c>
      <c r="K986" s="1" t="s">
        <v>77</v>
      </c>
      <c r="L986">
        <v>20220923082303</v>
      </c>
      <c r="M986" s="1" t="s">
        <v>1426</v>
      </c>
      <c r="N986" s="1" t="s">
        <v>84</v>
      </c>
      <c r="O986">
        <v>9</v>
      </c>
      <c r="P986" s="3">
        <v>44827</v>
      </c>
      <c r="Q986">
        <v>38</v>
      </c>
    </row>
    <row r="987" spans="1:17" x14ac:dyDescent="0.3">
      <c r="A987" s="1" t="s">
        <v>1425</v>
      </c>
      <c r="B987" s="2">
        <v>44827.349305555559</v>
      </c>
      <c r="C987" s="1" t="s">
        <v>37</v>
      </c>
      <c r="D987" s="1" t="s">
        <v>47</v>
      </c>
      <c r="E987" s="1" t="s">
        <v>51</v>
      </c>
      <c r="F987" s="1" t="s">
        <v>77</v>
      </c>
      <c r="G987" s="1" t="s">
        <v>77</v>
      </c>
      <c r="H987" s="1" t="s">
        <v>77</v>
      </c>
      <c r="I987" s="1" t="s">
        <v>77</v>
      </c>
      <c r="J987" s="1" t="s">
        <v>77</v>
      </c>
      <c r="K987" s="1" t="s">
        <v>77</v>
      </c>
      <c r="L987">
        <v>20220923082310</v>
      </c>
      <c r="M987" s="1" t="s">
        <v>1427</v>
      </c>
      <c r="N987" s="1" t="s">
        <v>84</v>
      </c>
      <c r="O987">
        <v>9</v>
      </c>
      <c r="P987" s="3">
        <v>44827</v>
      </c>
      <c r="Q987">
        <v>38</v>
      </c>
    </row>
    <row r="988" spans="1:17" x14ac:dyDescent="0.3">
      <c r="A988" s="1" t="s">
        <v>1425</v>
      </c>
      <c r="B988" s="2">
        <v>44827.349305555559</v>
      </c>
      <c r="C988" s="1" t="s">
        <v>37</v>
      </c>
      <c r="D988" s="1" t="s">
        <v>47</v>
      </c>
      <c r="E988" s="1" t="s">
        <v>536</v>
      </c>
      <c r="F988" s="1" t="s">
        <v>77</v>
      </c>
      <c r="G988" s="1" t="s">
        <v>77</v>
      </c>
      <c r="H988" s="1" t="s">
        <v>77</v>
      </c>
      <c r="I988" s="1" t="s">
        <v>77</v>
      </c>
      <c r="J988" s="1" t="s">
        <v>77</v>
      </c>
      <c r="K988" s="1" t="s">
        <v>77</v>
      </c>
      <c r="L988">
        <v>20220923082321</v>
      </c>
      <c r="M988" s="1" t="s">
        <v>1428</v>
      </c>
      <c r="N988" s="1" t="s">
        <v>84</v>
      </c>
      <c r="O988">
        <v>9</v>
      </c>
      <c r="P988" s="3">
        <v>44827</v>
      </c>
      <c r="Q988">
        <v>38</v>
      </c>
    </row>
    <row r="989" spans="1:17" x14ac:dyDescent="0.3">
      <c r="A989" s="1" t="s">
        <v>1425</v>
      </c>
      <c r="B989" s="2">
        <v>44827.349305555559</v>
      </c>
      <c r="C989" s="1" t="s">
        <v>37</v>
      </c>
      <c r="D989" s="1" t="s">
        <v>53</v>
      </c>
      <c r="E989" s="1" t="s">
        <v>54</v>
      </c>
      <c r="F989" s="1" t="s">
        <v>77</v>
      </c>
      <c r="G989" s="1" t="s">
        <v>77</v>
      </c>
      <c r="H989" s="1" t="s">
        <v>77</v>
      </c>
      <c r="I989" s="1" t="s">
        <v>77</v>
      </c>
      <c r="J989" s="1" t="s">
        <v>77</v>
      </c>
      <c r="K989" s="1" t="s">
        <v>77</v>
      </c>
      <c r="L989">
        <v>20220923082329</v>
      </c>
      <c r="M989" s="1" t="s">
        <v>1429</v>
      </c>
      <c r="N989" s="1" t="s">
        <v>84</v>
      </c>
      <c r="O989">
        <v>9</v>
      </c>
      <c r="P989" s="3">
        <v>44827</v>
      </c>
      <c r="Q989">
        <v>38</v>
      </c>
    </row>
    <row r="990" spans="1:17" x14ac:dyDescent="0.3">
      <c r="A990" s="1" t="s">
        <v>1425</v>
      </c>
      <c r="B990" s="2">
        <v>44827.349305555559</v>
      </c>
      <c r="C990" s="1" t="s">
        <v>37</v>
      </c>
      <c r="D990" s="1" t="s">
        <v>19</v>
      </c>
      <c r="E990" s="1" t="s">
        <v>58</v>
      </c>
      <c r="F990" s="1" t="s">
        <v>77</v>
      </c>
      <c r="G990" s="1" t="s">
        <v>77</v>
      </c>
      <c r="H990" s="1" t="s">
        <v>77</v>
      </c>
      <c r="I990" s="1" t="s">
        <v>77</v>
      </c>
      <c r="J990" s="1" t="s">
        <v>77</v>
      </c>
      <c r="K990" s="1" t="s">
        <v>77</v>
      </c>
      <c r="L990">
        <v>20220923082337</v>
      </c>
      <c r="M990" s="1" t="s">
        <v>1430</v>
      </c>
      <c r="N990" s="1" t="s">
        <v>84</v>
      </c>
      <c r="O990">
        <v>9</v>
      </c>
      <c r="P990" s="3">
        <v>44827</v>
      </c>
      <c r="Q990">
        <v>38</v>
      </c>
    </row>
    <row r="991" spans="1:17" x14ac:dyDescent="0.3">
      <c r="A991" s="1" t="s">
        <v>1425</v>
      </c>
      <c r="B991" s="2">
        <v>44827.349305555559</v>
      </c>
      <c r="C991" s="1" t="s">
        <v>37</v>
      </c>
      <c r="D991" s="1" t="s">
        <v>60</v>
      </c>
      <c r="E991" s="1" t="s">
        <v>61</v>
      </c>
      <c r="F991" s="1" t="s">
        <v>77</v>
      </c>
      <c r="G991" s="1" t="s">
        <v>77</v>
      </c>
      <c r="H991" s="1" t="s">
        <v>77</v>
      </c>
      <c r="I991" s="1" t="s">
        <v>77</v>
      </c>
      <c r="J991" s="1" t="s">
        <v>77</v>
      </c>
      <c r="K991" s="1" t="s">
        <v>77</v>
      </c>
      <c r="L991">
        <v>20220923082345</v>
      </c>
      <c r="M991" s="1" t="s">
        <v>1431</v>
      </c>
      <c r="N991" s="1" t="s">
        <v>84</v>
      </c>
      <c r="O991">
        <v>9</v>
      </c>
      <c r="P991" s="3">
        <v>44827</v>
      </c>
      <c r="Q991">
        <v>38</v>
      </c>
    </row>
    <row r="992" spans="1:17" x14ac:dyDescent="0.3">
      <c r="A992" s="1" t="s">
        <v>1425</v>
      </c>
      <c r="B992" s="2">
        <v>44827.35</v>
      </c>
      <c r="C992" s="1" t="s">
        <v>434</v>
      </c>
      <c r="D992" s="1" t="s">
        <v>53</v>
      </c>
      <c r="E992" s="1" t="s">
        <v>77</v>
      </c>
      <c r="F992" s="1" t="s">
        <v>77</v>
      </c>
      <c r="G992" s="1" t="s">
        <v>77</v>
      </c>
      <c r="H992" s="1" t="s">
        <v>56</v>
      </c>
      <c r="I992" s="1" t="s">
        <v>435</v>
      </c>
      <c r="J992" s="1" t="s">
        <v>77</v>
      </c>
      <c r="K992" s="1" t="s">
        <v>77</v>
      </c>
      <c r="L992">
        <v>20220923082355</v>
      </c>
      <c r="M992" s="1" t="s">
        <v>1432</v>
      </c>
      <c r="N992" s="1" t="s">
        <v>84</v>
      </c>
      <c r="O992">
        <v>9</v>
      </c>
      <c r="P992" s="3">
        <v>44827</v>
      </c>
      <c r="Q992">
        <v>38</v>
      </c>
    </row>
    <row r="993" spans="1:17" x14ac:dyDescent="0.3">
      <c r="A993" s="1" t="s">
        <v>1433</v>
      </c>
      <c r="B993" s="2">
        <v>44827.35</v>
      </c>
      <c r="C993" s="1" t="s">
        <v>37</v>
      </c>
      <c r="D993" s="1" t="s">
        <v>29</v>
      </c>
      <c r="E993" s="1" t="s">
        <v>30</v>
      </c>
      <c r="F993" s="1" t="s">
        <v>77</v>
      </c>
      <c r="G993" s="1" t="s">
        <v>77</v>
      </c>
      <c r="H993" s="1" t="s">
        <v>77</v>
      </c>
      <c r="I993" s="1" t="s">
        <v>77</v>
      </c>
      <c r="J993" s="1" t="s">
        <v>20</v>
      </c>
      <c r="K993" s="1" t="s">
        <v>20</v>
      </c>
      <c r="L993">
        <v>20220923082406</v>
      </c>
      <c r="M993" s="1" t="s">
        <v>1434</v>
      </c>
      <c r="N993" s="1" t="s">
        <v>84</v>
      </c>
      <c r="O993">
        <v>9</v>
      </c>
      <c r="P993" s="3">
        <v>44827</v>
      </c>
      <c r="Q993">
        <v>38</v>
      </c>
    </row>
    <row r="994" spans="1:17" x14ac:dyDescent="0.3">
      <c r="A994" s="1" t="s">
        <v>1433</v>
      </c>
      <c r="B994" s="2">
        <v>44827.35</v>
      </c>
      <c r="C994" s="1" t="s">
        <v>18</v>
      </c>
      <c r="D994" s="1" t="s">
        <v>29</v>
      </c>
      <c r="E994" s="1" t="s">
        <v>77</v>
      </c>
      <c r="F994" s="1" t="s">
        <v>77</v>
      </c>
      <c r="G994" s="1" t="s">
        <v>77</v>
      </c>
      <c r="H994" s="1" t="s">
        <v>77</v>
      </c>
      <c r="I994" s="1" t="s">
        <v>77</v>
      </c>
      <c r="J994" s="1" t="s">
        <v>554</v>
      </c>
      <c r="K994" s="1" t="s">
        <v>171</v>
      </c>
      <c r="L994">
        <v>20220923082422</v>
      </c>
      <c r="M994" s="1" t="s">
        <v>1435</v>
      </c>
      <c r="N994" s="1" t="s">
        <v>84</v>
      </c>
      <c r="O994">
        <v>9</v>
      </c>
      <c r="P994" s="3">
        <v>44827</v>
      </c>
      <c r="Q994">
        <v>38</v>
      </c>
    </row>
    <row r="995" spans="1:17" x14ac:dyDescent="0.3">
      <c r="A995" s="1" t="s">
        <v>1433</v>
      </c>
      <c r="B995" s="2">
        <v>44827.35</v>
      </c>
      <c r="C995" s="1" t="s">
        <v>37</v>
      </c>
      <c r="D995" s="1" t="s">
        <v>47</v>
      </c>
      <c r="E995" s="1" t="s">
        <v>48</v>
      </c>
      <c r="F995" s="1" t="s">
        <v>77</v>
      </c>
      <c r="G995" s="1" t="s">
        <v>77</v>
      </c>
      <c r="H995" s="1" t="s">
        <v>77</v>
      </c>
      <c r="I995" s="1" t="s">
        <v>77</v>
      </c>
      <c r="J995" s="1" t="s">
        <v>20</v>
      </c>
      <c r="K995" s="1" t="s">
        <v>20</v>
      </c>
      <c r="L995">
        <v>20220923082432</v>
      </c>
      <c r="M995" s="1" t="s">
        <v>1436</v>
      </c>
      <c r="N995" s="1" t="s">
        <v>84</v>
      </c>
      <c r="O995">
        <v>9</v>
      </c>
      <c r="P995" s="3">
        <v>44827</v>
      </c>
      <c r="Q995">
        <v>38</v>
      </c>
    </row>
    <row r="996" spans="1:17" x14ac:dyDescent="0.3">
      <c r="A996" s="1" t="s">
        <v>1442</v>
      </c>
      <c r="B996" s="2">
        <v>44828.37777777778</v>
      </c>
      <c r="C996" s="1" t="s">
        <v>37</v>
      </c>
      <c r="D996" s="1" t="s">
        <v>26</v>
      </c>
      <c r="E996" s="1" t="s">
        <v>27</v>
      </c>
      <c r="F996" s="1" t="s">
        <v>77</v>
      </c>
      <c r="G996" s="1" t="s">
        <v>77</v>
      </c>
      <c r="H996" s="1" t="s">
        <v>77</v>
      </c>
      <c r="I996" s="1" t="s">
        <v>77</v>
      </c>
      <c r="J996" s="1" t="s">
        <v>77</v>
      </c>
      <c r="K996" s="1" t="s">
        <v>77</v>
      </c>
      <c r="L996">
        <v>20220924090403</v>
      </c>
      <c r="M996" s="1" t="s">
        <v>1443</v>
      </c>
      <c r="N996" s="1" t="s">
        <v>101</v>
      </c>
      <c r="O996">
        <v>9</v>
      </c>
      <c r="P996" s="3">
        <v>44828</v>
      </c>
      <c r="Q996">
        <v>38</v>
      </c>
    </row>
    <row r="997" spans="1:17" x14ac:dyDescent="0.3">
      <c r="A997" s="1" t="s">
        <v>1442</v>
      </c>
      <c r="B997" s="2">
        <v>44828.37777777778</v>
      </c>
      <c r="C997" s="1" t="s">
        <v>37</v>
      </c>
      <c r="D997" s="1" t="s">
        <v>195</v>
      </c>
      <c r="E997" s="1" t="s">
        <v>21</v>
      </c>
      <c r="F997" s="1" t="s">
        <v>77</v>
      </c>
      <c r="G997" s="1" t="s">
        <v>77</v>
      </c>
      <c r="H997" s="1" t="s">
        <v>77</v>
      </c>
      <c r="I997" s="1" t="s">
        <v>77</v>
      </c>
      <c r="J997" s="1" t="s">
        <v>77</v>
      </c>
      <c r="K997" s="1" t="s">
        <v>77</v>
      </c>
      <c r="L997">
        <v>20220924090410</v>
      </c>
      <c r="M997" s="1" t="s">
        <v>1444</v>
      </c>
      <c r="N997" s="1" t="s">
        <v>101</v>
      </c>
      <c r="O997">
        <v>9</v>
      </c>
      <c r="P997" s="3">
        <v>44828</v>
      </c>
      <c r="Q997">
        <v>38</v>
      </c>
    </row>
    <row r="998" spans="1:17" x14ac:dyDescent="0.3">
      <c r="A998" s="1" t="s">
        <v>1442</v>
      </c>
      <c r="B998" s="2">
        <v>44828.37777777778</v>
      </c>
      <c r="C998" s="1" t="s">
        <v>37</v>
      </c>
      <c r="D998" s="1" t="s">
        <v>38</v>
      </c>
      <c r="E998" s="1" t="s">
        <v>39</v>
      </c>
      <c r="F998" s="1" t="s">
        <v>77</v>
      </c>
      <c r="G998" s="1" t="s">
        <v>77</v>
      </c>
      <c r="H998" s="1" t="s">
        <v>77</v>
      </c>
      <c r="I998" s="1" t="s">
        <v>77</v>
      </c>
      <c r="J998" s="1" t="s">
        <v>77</v>
      </c>
      <c r="K998" s="1" t="s">
        <v>77</v>
      </c>
      <c r="L998">
        <v>20220924090428</v>
      </c>
      <c r="M998" s="1" t="s">
        <v>1445</v>
      </c>
      <c r="N998" s="1" t="s">
        <v>101</v>
      </c>
      <c r="O998">
        <v>9</v>
      </c>
      <c r="P998" s="3">
        <v>44828</v>
      </c>
      <c r="Q998">
        <v>38</v>
      </c>
    </row>
    <row r="999" spans="1:17" x14ac:dyDescent="0.3">
      <c r="A999" s="1" t="s">
        <v>1442</v>
      </c>
      <c r="B999" s="2">
        <v>44828.37777777778</v>
      </c>
      <c r="C999" s="1" t="s">
        <v>37</v>
      </c>
      <c r="D999" s="1" t="s">
        <v>41</v>
      </c>
      <c r="E999" s="1" t="s">
        <v>42</v>
      </c>
      <c r="F999" s="1" t="s">
        <v>77</v>
      </c>
      <c r="G999" s="1" t="s">
        <v>77</v>
      </c>
      <c r="H999" s="1" t="s">
        <v>77</v>
      </c>
      <c r="I999" s="1" t="s">
        <v>77</v>
      </c>
      <c r="J999" s="1" t="s">
        <v>77</v>
      </c>
      <c r="K999" s="1" t="s">
        <v>77</v>
      </c>
      <c r="L999">
        <v>20220924090435</v>
      </c>
      <c r="M999" s="1" t="s">
        <v>1446</v>
      </c>
      <c r="N999" s="1" t="s">
        <v>101</v>
      </c>
      <c r="O999">
        <v>9</v>
      </c>
      <c r="P999" s="3">
        <v>44828</v>
      </c>
      <c r="Q999">
        <v>38</v>
      </c>
    </row>
    <row r="1000" spans="1:17" x14ac:dyDescent="0.3">
      <c r="A1000" s="1" t="s">
        <v>1442</v>
      </c>
      <c r="B1000" s="2">
        <v>44828.37777777778</v>
      </c>
      <c r="C1000" s="1" t="s">
        <v>37</v>
      </c>
      <c r="D1000" s="1" t="s">
        <v>44</v>
      </c>
      <c r="E1000" s="1" t="s">
        <v>45</v>
      </c>
      <c r="F1000" s="1" t="s">
        <v>77</v>
      </c>
      <c r="G1000" s="1" t="s">
        <v>77</v>
      </c>
      <c r="H1000" s="1" t="s">
        <v>77</v>
      </c>
      <c r="I1000" s="1" t="s">
        <v>77</v>
      </c>
      <c r="J1000" s="1" t="s">
        <v>77</v>
      </c>
      <c r="K1000" s="1" t="s">
        <v>77</v>
      </c>
      <c r="L1000">
        <v>20220924090442</v>
      </c>
      <c r="M1000" s="1" t="s">
        <v>1447</v>
      </c>
      <c r="N1000" s="1" t="s">
        <v>101</v>
      </c>
      <c r="O1000">
        <v>9</v>
      </c>
      <c r="P1000" s="3">
        <v>44828</v>
      </c>
      <c r="Q1000">
        <v>38</v>
      </c>
    </row>
    <row r="1001" spans="1:17" x14ac:dyDescent="0.3">
      <c r="A1001" s="1" t="s">
        <v>1442</v>
      </c>
      <c r="B1001" s="2">
        <v>44828.378472222219</v>
      </c>
      <c r="C1001" s="1" t="s">
        <v>37</v>
      </c>
      <c r="D1001" s="1" t="s">
        <v>47</v>
      </c>
      <c r="E1001" s="1" t="s">
        <v>51</v>
      </c>
      <c r="F1001" s="1" t="s">
        <v>77</v>
      </c>
      <c r="G1001" s="1" t="s">
        <v>77</v>
      </c>
      <c r="H1001" s="1" t="s">
        <v>77</v>
      </c>
      <c r="I1001" s="1" t="s">
        <v>77</v>
      </c>
      <c r="J1001" s="1" t="s">
        <v>77</v>
      </c>
      <c r="K1001" s="1" t="s">
        <v>77</v>
      </c>
      <c r="L1001">
        <v>20220924090455</v>
      </c>
      <c r="M1001" s="1" t="s">
        <v>1448</v>
      </c>
      <c r="N1001" s="1" t="s">
        <v>101</v>
      </c>
      <c r="O1001">
        <v>9</v>
      </c>
      <c r="P1001" s="3">
        <v>44828</v>
      </c>
      <c r="Q1001">
        <v>38</v>
      </c>
    </row>
    <row r="1002" spans="1:17" x14ac:dyDescent="0.3">
      <c r="A1002" s="1" t="s">
        <v>1449</v>
      </c>
      <c r="B1002" s="2">
        <v>44828.378472222219</v>
      </c>
      <c r="C1002" s="1" t="s">
        <v>37</v>
      </c>
      <c r="D1002" s="1" t="s">
        <v>47</v>
      </c>
      <c r="E1002" s="1" t="s">
        <v>536</v>
      </c>
      <c r="F1002" s="1" t="s">
        <v>77</v>
      </c>
      <c r="G1002" s="1" t="s">
        <v>77</v>
      </c>
      <c r="H1002" s="1" t="s">
        <v>77</v>
      </c>
      <c r="I1002" s="1" t="s">
        <v>77</v>
      </c>
      <c r="J1002" s="1" t="s">
        <v>77</v>
      </c>
      <c r="K1002" s="1" t="s">
        <v>77</v>
      </c>
      <c r="L1002">
        <v>20220924090508</v>
      </c>
      <c r="M1002" s="1" t="s">
        <v>1450</v>
      </c>
      <c r="N1002" s="1" t="s">
        <v>101</v>
      </c>
      <c r="O1002">
        <v>9</v>
      </c>
      <c r="P1002" s="3">
        <v>44828</v>
      </c>
      <c r="Q1002">
        <v>38</v>
      </c>
    </row>
    <row r="1003" spans="1:17" x14ac:dyDescent="0.3">
      <c r="A1003" s="1" t="s">
        <v>1449</v>
      </c>
      <c r="B1003" s="2">
        <v>44828.378472222219</v>
      </c>
      <c r="C1003" s="1" t="s">
        <v>37</v>
      </c>
      <c r="D1003" s="1" t="s">
        <v>53</v>
      </c>
      <c r="E1003" s="1" t="s">
        <v>54</v>
      </c>
      <c r="F1003" s="1" t="s">
        <v>77</v>
      </c>
      <c r="G1003" s="1" t="s">
        <v>77</v>
      </c>
      <c r="H1003" s="1" t="s">
        <v>77</v>
      </c>
      <c r="I1003" s="1" t="s">
        <v>77</v>
      </c>
      <c r="J1003" s="1" t="s">
        <v>77</v>
      </c>
      <c r="K1003" s="1" t="s">
        <v>77</v>
      </c>
      <c r="L1003">
        <v>20220924090516</v>
      </c>
      <c r="M1003" s="1" t="s">
        <v>1451</v>
      </c>
      <c r="N1003" s="1" t="s">
        <v>101</v>
      </c>
      <c r="O1003">
        <v>9</v>
      </c>
      <c r="P1003" s="3">
        <v>44828</v>
      </c>
      <c r="Q1003">
        <v>38</v>
      </c>
    </row>
    <row r="1004" spans="1:17" x14ac:dyDescent="0.3">
      <c r="A1004" s="1" t="s">
        <v>1449</v>
      </c>
      <c r="B1004" s="2">
        <v>44828.378472222219</v>
      </c>
      <c r="C1004" s="1" t="s">
        <v>37</v>
      </c>
      <c r="D1004" s="1" t="s">
        <v>60</v>
      </c>
      <c r="E1004" s="1" t="s">
        <v>61</v>
      </c>
      <c r="F1004" s="1" t="s">
        <v>77</v>
      </c>
      <c r="G1004" s="1" t="s">
        <v>77</v>
      </c>
      <c r="H1004" s="1" t="s">
        <v>77</v>
      </c>
      <c r="I1004" s="1" t="s">
        <v>77</v>
      </c>
      <c r="J1004" s="1" t="s">
        <v>77</v>
      </c>
      <c r="K1004" s="1" t="s">
        <v>77</v>
      </c>
      <c r="L1004">
        <v>20220924090525</v>
      </c>
      <c r="M1004" s="1" t="s">
        <v>1452</v>
      </c>
      <c r="N1004" s="1" t="s">
        <v>101</v>
      </c>
      <c r="O1004">
        <v>9</v>
      </c>
      <c r="P1004" s="3">
        <v>44828</v>
      </c>
      <c r="Q1004">
        <v>38</v>
      </c>
    </row>
    <row r="1005" spans="1:17" x14ac:dyDescent="0.3">
      <c r="A1005" s="1" t="s">
        <v>1449</v>
      </c>
      <c r="B1005" s="2">
        <v>44828.378472222219</v>
      </c>
      <c r="C1005" s="1" t="s">
        <v>434</v>
      </c>
      <c r="D1005" s="1" t="s">
        <v>53</v>
      </c>
      <c r="E1005" s="1" t="s">
        <v>77</v>
      </c>
      <c r="F1005" s="1" t="s">
        <v>77</v>
      </c>
      <c r="G1005" s="1" t="s">
        <v>77</v>
      </c>
      <c r="H1005" s="1" t="s">
        <v>56</v>
      </c>
      <c r="I1005" s="1" t="s">
        <v>435</v>
      </c>
      <c r="J1005" s="1" t="s">
        <v>77</v>
      </c>
      <c r="K1005" s="1" t="s">
        <v>77</v>
      </c>
      <c r="L1005">
        <v>20220924090538</v>
      </c>
      <c r="M1005" s="1" t="s">
        <v>1453</v>
      </c>
      <c r="N1005" s="1" t="s">
        <v>101</v>
      </c>
      <c r="O1005">
        <v>9</v>
      </c>
      <c r="P1005" s="3">
        <v>44828</v>
      </c>
      <c r="Q1005">
        <v>38</v>
      </c>
    </row>
    <row r="1006" spans="1:17" x14ac:dyDescent="0.3">
      <c r="A1006" s="1" t="s">
        <v>1449</v>
      </c>
      <c r="B1006" s="2">
        <v>44828.379166666666</v>
      </c>
      <c r="C1006" s="1" t="s">
        <v>18</v>
      </c>
      <c r="D1006" s="1" t="s">
        <v>47</v>
      </c>
      <c r="E1006" s="1" t="s">
        <v>77</v>
      </c>
      <c r="F1006" s="1" t="s">
        <v>77</v>
      </c>
      <c r="G1006" s="1" t="s">
        <v>77</v>
      </c>
      <c r="H1006" s="1" t="s">
        <v>77</v>
      </c>
      <c r="I1006" s="1" t="s">
        <v>77</v>
      </c>
      <c r="J1006" s="1" t="s">
        <v>48</v>
      </c>
      <c r="K1006" s="1" t="s">
        <v>1340</v>
      </c>
      <c r="L1006">
        <v>20220924090552</v>
      </c>
      <c r="M1006" s="1" t="s">
        <v>1454</v>
      </c>
      <c r="N1006" s="1" t="s">
        <v>101</v>
      </c>
      <c r="O1006">
        <v>9</v>
      </c>
      <c r="P1006" s="3">
        <v>44828</v>
      </c>
      <c r="Q1006">
        <v>38</v>
      </c>
    </row>
    <row r="1007" spans="1:17" x14ac:dyDescent="0.3">
      <c r="A1007" s="1" t="s">
        <v>1455</v>
      </c>
      <c r="B1007" s="2">
        <v>44828.379166666666</v>
      </c>
      <c r="C1007" s="1" t="s">
        <v>18</v>
      </c>
      <c r="D1007" s="1" t="s">
        <v>19</v>
      </c>
      <c r="E1007" s="1" t="s">
        <v>77</v>
      </c>
      <c r="F1007" s="1" t="s">
        <v>77</v>
      </c>
      <c r="G1007" s="1" t="s">
        <v>77</v>
      </c>
      <c r="H1007" s="1" t="s">
        <v>77</v>
      </c>
      <c r="I1007" s="1" t="s">
        <v>77</v>
      </c>
      <c r="J1007" s="1" t="s">
        <v>58</v>
      </c>
      <c r="K1007" s="1" t="s">
        <v>877</v>
      </c>
      <c r="L1007">
        <v>20220924090603</v>
      </c>
      <c r="M1007" s="1" t="s">
        <v>1456</v>
      </c>
      <c r="N1007" s="1" t="s">
        <v>101</v>
      </c>
      <c r="O1007">
        <v>9</v>
      </c>
      <c r="P1007" s="3">
        <v>44828</v>
      </c>
      <c r="Q1007">
        <v>38</v>
      </c>
    </row>
    <row r="1008" spans="1:17" x14ac:dyDescent="0.3">
      <c r="A1008" s="1" t="s">
        <v>1455</v>
      </c>
      <c r="B1008" s="2">
        <v>44828.379166666666</v>
      </c>
      <c r="C1008" s="1" t="s">
        <v>18</v>
      </c>
      <c r="D1008" s="1" t="s">
        <v>29</v>
      </c>
      <c r="E1008" s="1" t="s">
        <v>77</v>
      </c>
      <c r="F1008" s="1" t="s">
        <v>77</v>
      </c>
      <c r="G1008" s="1" t="s">
        <v>77</v>
      </c>
      <c r="H1008" s="1" t="s">
        <v>77</v>
      </c>
      <c r="I1008" s="1" t="s">
        <v>77</v>
      </c>
      <c r="J1008" s="1" t="s">
        <v>30</v>
      </c>
      <c r="K1008" s="1" t="s">
        <v>523</v>
      </c>
      <c r="L1008">
        <v>20220924090633</v>
      </c>
      <c r="M1008" s="1" t="s">
        <v>1457</v>
      </c>
      <c r="N1008" s="1" t="s">
        <v>101</v>
      </c>
      <c r="O1008">
        <v>9</v>
      </c>
      <c r="P1008" s="3">
        <v>44828</v>
      </c>
      <c r="Q1008">
        <v>38</v>
      </c>
    </row>
    <row r="1009" spans="1:17" x14ac:dyDescent="0.3">
      <c r="A1009" s="1" t="s">
        <v>1455</v>
      </c>
      <c r="B1009" s="2">
        <v>44828.379166666666</v>
      </c>
      <c r="C1009" s="1" t="s">
        <v>18</v>
      </c>
      <c r="D1009" s="1" t="s">
        <v>29</v>
      </c>
      <c r="E1009" s="1" t="s">
        <v>77</v>
      </c>
      <c r="F1009" s="1" t="s">
        <v>77</v>
      </c>
      <c r="G1009" s="1" t="s">
        <v>77</v>
      </c>
      <c r="H1009" s="1" t="s">
        <v>77</v>
      </c>
      <c r="I1009" s="1" t="s">
        <v>77</v>
      </c>
      <c r="J1009" s="1" t="s">
        <v>554</v>
      </c>
      <c r="K1009" s="1" t="s">
        <v>523</v>
      </c>
      <c r="L1009">
        <v>20220924090647</v>
      </c>
      <c r="M1009" s="1" t="s">
        <v>1458</v>
      </c>
      <c r="N1009" s="1" t="s">
        <v>101</v>
      </c>
      <c r="O1009">
        <v>9</v>
      </c>
      <c r="P1009" s="3">
        <v>44828</v>
      </c>
      <c r="Q1009">
        <v>38</v>
      </c>
    </row>
    <row r="1010" spans="1:17" x14ac:dyDescent="0.3">
      <c r="A1010" s="1" t="s">
        <v>1459</v>
      </c>
      <c r="B1010" s="2">
        <v>44830.381944444445</v>
      </c>
      <c r="C1010" s="1" t="s">
        <v>37</v>
      </c>
      <c r="D1010" s="1" t="s">
        <v>26</v>
      </c>
      <c r="E1010" s="1" t="s">
        <v>27</v>
      </c>
      <c r="F1010" s="1" t="s">
        <v>77</v>
      </c>
      <c r="G1010" s="1" t="s">
        <v>77</v>
      </c>
      <c r="H1010" s="1" t="s">
        <v>77</v>
      </c>
      <c r="I1010" s="1" t="s">
        <v>77</v>
      </c>
      <c r="J1010" s="1" t="s">
        <v>77</v>
      </c>
      <c r="K1010" s="1" t="s">
        <v>77</v>
      </c>
      <c r="L1010">
        <v>20220926091044</v>
      </c>
      <c r="M1010" s="1" t="s">
        <v>1460</v>
      </c>
      <c r="N1010" s="1" t="s">
        <v>120</v>
      </c>
      <c r="O1010">
        <v>9</v>
      </c>
      <c r="P1010" s="3">
        <v>44830</v>
      </c>
      <c r="Q1010">
        <v>39</v>
      </c>
    </row>
    <row r="1011" spans="1:17" x14ac:dyDescent="0.3">
      <c r="A1011" s="1" t="s">
        <v>1461</v>
      </c>
      <c r="B1011" s="2">
        <v>44830.383333333331</v>
      </c>
      <c r="C1011" s="1" t="s">
        <v>37</v>
      </c>
      <c r="D1011" s="1" t="s">
        <v>195</v>
      </c>
      <c r="E1011" s="1" t="s">
        <v>21</v>
      </c>
      <c r="F1011" s="1" t="s">
        <v>77</v>
      </c>
      <c r="G1011" s="1" t="s">
        <v>77</v>
      </c>
      <c r="H1011" s="1" t="s">
        <v>77</v>
      </c>
      <c r="I1011" s="1" t="s">
        <v>77</v>
      </c>
      <c r="J1011" s="1" t="s">
        <v>77</v>
      </c>
      <c r="K1011" s="1" t="s">
        <v>77</v>
      </c>
      <c r="L1011">
        <v>20220926091159</v>
      </c>
      <c r="M1011" s="1" t="s">
        <v>1462</v>
      </c>
      <c r="N1011" s="1" t="s">
        <v>120</v>
      </c>
      <c r="O1011">
        <v>9</v>
      </c>
      <c r="P1011" s="3">
        <v>44830</v>
      </c>
      <c r="Q1011">
        <v>39</v>
      </c>
    </row>
    <row r="1012" spans="1:17" x14ac:dyDescent="0.3">
      <c r="A1012" s="1" t="s">
        <v>1463</v>
      </c>
      <c r="B1012" s="2">
        <v>44830.383333333331</v>
      </c>
      <c r="C1012" s="1" t="s">
        <v>37</v>
      </c>
      <c r="D1012" s="1" t="s">
        <v>38</v>
      </c>
      <c r="E1012" s="1" t="s">
        <v>39</v>
      </c>
      <c r="F1012" s="1" t="s">
        <v>77</v>
      </c>
      <c r="G1012" s="1" t="s">
        <v>77</v>
      </c>
      <c r="H1012" s="1" t="s">
        <v>77</v>
      </c>
      <c r="I1012" s="1" t="s">
        <v>77</v>
      </c>
      <c r="J1012" s="1" t="s">
        <v>77</v>
      </c>
      <c r="K1012" s="1" t="s">
        <v>77</v>
      </c>
      <c r="L1012">
        <v>20220926091223</v>
      </c>
      <c r="M1012" s="1" t="s">
        <v>1464</v>
      </c>
      <c r="N1012" s="1" t="s">
        <v>120</v>
      </c>
      <c r="O1012">
        <v>9</v>
      </c>
      <c r="P1012" s="3">
        <v>44830</v>
      </c>
      <c r="Q1012">
        <v>39</v>
      </c>
    </row>
    <row r="1013" spans="1:17" x14ac:dyDescent="0.3">
      <c r="A1013" s="1" t="s">
        <v>1463</v>
      </c>
      <c r="B1013" s="2">
        <v>44830.383333333331</v>
      </c>
      <c r="C1013" s="1" t="s">
        <v>37</v>
      </c>
      <c r="D1013" s="1" t="s">
        <v>41</v>
      </c>
      <c r="E1013" s="1" t="s">
        <v>42</v>
      </c>
      <c r="F1013" s="1" t="s">
        <v>77</v>
      </c>
      <c r="G1013" s="1" t="s">
        <v>77</v>
      </c>
      <c r="H1013" s="1" t="s">
        <v>77</v>
      </c>
      <c r="I1013" s="1" t="s">
        <v>77</v>
      </c>
      <c r="J1013" s="1" t="s">
        <v>77</v>
      </c>
      <c r="K1013" s="1" t="s">
        <v>77</v>
      </c>
      <c r="L1013">
        <v>20220926091232</v>
      </c>
      <c r="M1013" s="1" t="s">
        <v>1465</v>
      </c>
      <c r="N1013" s="1" t="s">
        <v>120</v>
      </c>
      <c r="O1013">
        <v>9</v>
      </c>
      <c r="P1013" s="3">
        <v>44830</v>
      </c>
      <c r="Q1013">
        <v>39</v>
      </c>
    </row>
    <row r="1014" spans="1:17" x14ac:dyDescent="0.3">
      <c r="A1014" s="1" t="s">
        <v>1463</v>
      </c>
      <c r="B1014" s="2">
        <v>44830.383333333331</v>
      </c>
      <c r="C1014" s="1" t="s">
        <v>37</v>
      </c>
      <c r="D1014" s="1" t="s">
        <v>44</v>
      </c>
      <c r="E1014" s="1" t="s">
        <v>45</v>
      </c>
      <c r="F1014" s="1" t="s">
        <v>77</v>
      </c>
      <c r="G1014" s="1" t="s">
        <v>77</v>
      </c>
      <c r="H1014" s="1" t="s">
        <v>77</v>
      </c>
      <c r="I1014" s="1" t="s">
        <v>77</v>
      </c>
      <c r="J1014" s="1" t="s">
        <v>77</v>
      </c>
      <c r="K1014" s="1" t="s">
        <v>77</v>
      </c>
      <c r="L1014">
        <v>20220926091238</v>
      </c>
      <c r="M1014" s="1" t="s">
        <v>1466</v>
      </c>
      <c r="N1014" s="1" t="s">
        <v>120</v>
      </c>
      <c r="O1014">
        <v>9</v>
      </c>
      <c r="P1014" s="3">
        <v>44830</v>
      </c>
      <c r="Q1014">
        <v>39</v>
      </c>
    </row>
    <row r="1015" spans="1:17" x14ac:dyDescent="0.3">
      <c r="A1015" s="1" t="s">
        <v>1463</v>
      </c>
      <c r="B1015" s="2">
        <v>44830.384027777778</v>
      </c>
      <c r="C1015" s="1" t="s">
        <v>37</v>
      </c>
      <c r="D1015" s="1" t="s">
        <v>47</v>
      </c>
      <c r="E1015" s="1" t="s">
        <v>536</v>
      </c>
      <c r="F1015" s="1" t="s">
        <v>77</v>
      </c>
      <c r="G1015" s="1" t="s">
        <v>77</v>
      </c>
      <c r="H1015" s="1" t="s">
        <v>77</v>
      </c>
      <c r="I1015" s="1" t="s">
        <v>77</v>
      </c>
      <c r="J1015" s="1" t="s">
        <v>77</v>
      </c>
      <c r="K1015" s="1" t="s">
        <v>77</v>
      </c>
      <c r="L1015">
        <v>20220926091246</v>
      </c>
      <c r="M1015" s="1" t="s">
        <v>1467</v>
      </c>
      <c r="N1015" s="1" t="s">
        <v>120</v>
      </c>
      <c r="O1015">
        <v>9</v>
      </c>
      <c r="P1015" s="3">
        <v>44830</v>
      </c>
      <c r="Q1015">
        <v>39</v>
      </c>
    </row>
    <row r="1016" spans="1:17" x14ac:dyDescent="0.3">
      <c r="A1016" s="1" t="s">
        <v>1468</v>
      </c>
      <c r="B1016" s="2">
        <v>44830.384027777778</v>
      </c>
      <c r="C1016" s="1" t="s">
        <v>37</v>
      </c>
      <c r="D1016" s="1" t="s">
        <v>53</v>
      </c>
      <c r="E1016" s="1" t="s">
        <v>54</v>
      </c>
      <c r="F1016" s="1" t="s">
        <v>77</v>
      </c>
      <c r="G1016" s="1" t="s">
        <v>77</v>
      </c>
      <c r="H1016" s="1" t="s">
        <v>77</v>
      </c>
      <c r="I1016" s="1" t="s">
        <v>77</v>
      </c>
      <c r="J1016" s="1" t="s">
        <v>77</v>
      </c>
      <c r="K1016" s="1" t="s">
        <v>77</v>
      </c>
      <c r="L1016">
        <v>20220926091321</v>
      </c>
      <c r="M1016" s="1" t="s">
        <v>1469</v>
      </c>
      <c r="N1016" s="1" t="s">
        <v>120</v>
      </c>
      <c r="O1016">
        <v>9</v>
      </c>
      <c r="P1016" s="3">
        <v>44830</v>
      </c>
      <c r="Q1016">
        <v>39</v>
      </c>
    </row>
    <row r="1017" spans="1:17" x14ac:dyDescent="0.3">
      <c r="A1017" s="1" t="s">
        <v>1468</v>
      </c>
      <c r="B1017" s="2">
        <v>44830.384027777778</v>
      </c>
      <c r="C1017" s="1" t="s">
        <v>37</v>
      </c>
      <c r="D1017" s="1" t="s">
        <v>53</v>
      </c>
      <c r="E1017" s="1" t="s">
        <v>56</v>
      </c>
      <c r="F1017" s="1" t="s">
        <v>77</v>
      </c>
      <c r="G1017" s="1" t="s">
        <v>77</v>
      </c>
      <c r="H1017" s="1" t="s">
        <v>77</v>
      </c>
      <c r="I1017" s="1" t="s">
        <v>77</v>
      </c>
      <c r="J1017" s="1" t="s">
        <v>77</v>
      </c>
      <c r="K1017" s="1" t="s">
        <v>77</v>
      </c>
      <c r="L1017">
        <v>20220926091332</v>
      </c>
      <c r="M1017" s="1" t="s">
        <v>1470</v>
      </c>
      <c r="N1017" s="1" t="s">
        <v>120</v>
      </c>
      <c r="O1017">
        <v>9</v>
      </c>
      <c r="P1017" s="3">
        <v>44830</v>
      </c>
      <c r="Q1017">
        <v>39</v>
      </c>
    </row>
    <row r="1018" spans="1:17" x14ac:dyDescent="0.3">
      <c r="A1018" s="1" t="s">
        <v>1468</v>
      </c>
      <c r="B1018" s="2">
        <v>44830.384027777778</v>
      </c>
      <c r="C1018" s="1" t="s">
        <v>37</v>
      </c>
      <c r="D1018" s="1" t="s">
        <v>60</v>
      </c>
      <c r="E1018" s="1" t="s">
        <v>61</v>
      </c>
      <c r="F1018" s="1" t="s">
        <v>77</v>
      </c>
      <c r="G1018" s="1" t="s">
        <v>77</v>
      </c>
      <c r="H1018" s="1" t="s">
        <v>77</v>
      </c>
      <c r="I1018" s="1" t="s">
        <v>77</v>
      </c>
      <c r="J1018" s="1" t="s">
        <v>77</v>
      </c>
      <c r="K1018" s="1" t="s">
        <v>77</v>
      </c>
      <c r="L1018">
        <v>20220926091343</v>
      </c>
      <c r="M1018" s="1" t="s">
        <v>1471</v>
      </c>
      <c r="N1018" s="1" t="s">
        <v>120</v>
      </c>
      <c r="O1018">
        <v>9</v>
      </c>
      <c r="P1018" s="3">
        <v>44830</v>
      </c>
      <c r="Q1018">
        <v>39</v>
      </c>
    </row>
    <row r="1019" spans="1:17" x14ac:dyDescent="0.3">
      <c r="A1019" s="1" t="s">
        <v>1468</v>
      </c>
      <c r="B1019" s="2">
        <v>44830.384027777778</v>
      </c>
      <c r="C1019" s="1" t="s">
        <v>37</v>
      </c>
      <c r="D1019" s="1" t="s">
        <v>29</v>
      </c>
      <c r="E1019" s="1" t="s">
        <v>30</v>
      </c>
      <c r="F1019" s="1" t="s">
        <v>77</v>
      </c>
      <c r="G1019" s="1" t="s">
        <v>77</v>
      </c>
      <c r="H1019" s="1" t="s">
        <v>77</v>
      </c>
      <c r="I1019" s="1" t="s">
        <v>77</v>
      </c>
      <c r="J1019" s="1" t="s">
        <v>77</v>
      </c>
      <c r="K1019" s="1" t="s">
        <v>77</v>
      </c>
      <c r="L1019">
        <v>20220926091354</v>
      </c>
      <c r="M1019" s="1" t="s">
        <v>1472</v>
      </c>
      <c r="N1019" s="1" t="s">
        <v>120</v>
      </c>
      <c r="O1019">
        <v>9</v>
      </c>
      <c r="P1019" s="3">
        <v>44830</v>
      </c>
      <c r="Q1019">
        <v>39</v>
      </c>
    </row>
    <row r="1020" spans="1:17" x14ac:dyDescent="0.3">
      <c r="A1020" s="1" t="s">
        <v>1473</v>
      </c>
      <c r="B1020" s="2">
        <v>44830.384722222225</v>
      </c>
      <c r="C1020" s="1" t="s">
        <v>37</v>
      </c>
      <c r="D1020" s="1" t="s">
        <v>29</v>
      </c>
      <c r="E1020" s="1" t="s">
        <v>554</v>
      </c>
      <c r="F1020" s="1" t="s">
        <v>77</v>
      </c>
      <c r="G1020" s="1" t="s">
        <v>77</v>
      </c>
      <c r="H1020" s="1" t="s">
        <v>77</v>
      </c>
      <c r="I1020" s="1" t="s">
        <v>77</v>
      </c>
      <c r="J1020" s="1" t="s">
        <v>77</v>
      </c>
      <c r="K1020" s="1" t="s">
        <v>77</v>
      </c>
      <c r="L1020">
        <v>20220926091401</v>
      </c>
      <c r="M1020" s="1" t="s">
        <v>1474</v>
      </c>
      <c r="N1020" s="1" t="s">
        <v>120</v>
      </c>
      <c r="O1020">
        <v>9</v>
      </c>
      <c r="P1020" s="3">
        <v>44830</v>
      </c>
      <c r="Q1020">
        <v>39</v>
      </c>
    </row>
    <row r="1021" spans="1:17" x14ac:dyDescent="0.3">
      <c r="A1021" s="1" t="s">
        <v>1473</v>
      </c>
      <c r="B1021" s="2">
        <v>44830.384722222225</v>
      </c>
      <c r="C1021" s="1" t="s">
        <v>18</v>
      </c>
      <c r="D1021" s="1" t="s">
        <v>47</v>
      </c>
      <c r="E1021" s="1" t="s">
        <v>77</v>
      </c>
      <c r="F1021" s="1" t="s">
        <v>77</v>
      </c>
      <c r="G1021" s="1" t="s">
        <v>77</v>
      </c>
      <c r="H1021" s="1" t="s">
        <v>77</v>
      </c>
      <c r="I1021" s="1" t="s">
        <v>77</v>
      </c>
      <c r="J1021" s="1" t="s">
        <v>48</v>
      </c>
      <c r="K1021" s="1" t="s">
        <v>1340</v>
      </c>
      <c r="L1021">
        <v>20220926091407</v>
      </c>
      <c r="M1021" s="1" t="s">
        <v>1475</v>
      </c>
      <c r="N1021" s="1" t="s">
        <v>120</v>
      </c>
      <c r="O1021">
        <v>9</v>
      </c>
      <c r="P1021" s="3">
        <v>44830</v>
      </c>
      <c r="Q1021">
        <v>39</v>
      </c>
    </row>
    <row r="1022" spans="1:17" x14ac:dyDescent="0.3">
      <c r="A1022" s="1" t="s">
        <v>1473</v>
      </c>
      <c r="B1022" s="2">
        <v>44830.384722222225</v>
      </c>
      <c r="C1022" s="1" t="s">
        <v>18</v>
      </c>
      <c r="D1022" s="1" t="s">
        <v>47</v>
      </c>
      <c r="E1022" s="1" t="s">
        <v>77</v>
      </c>
      <c r="F1022" s="1" t="s">
        <v>77</v>
      </c>
      <c r="G1022" s="1" t="s">
        <v>77</v>
      </c>
      <c r="H1022" s="1" t="s">
        <v>77</v>
      </c>
      <c r="I1022" s="1" t="s">
        <v>77</v>
      </c>
      <c r="J1022" s="1" t="s">
        <v>51</v>
      </c>
      <c r="K1022" s="1" t="s">
        <v>1476</v>
      </c>
      <c r="L1022">
        <v>20220926091417</v>
      </c>
      <c r="M1022" s="1" t="s">
        <v>1477</v>
      </c>
      <c r="N1022" s="1" t="s">
        <v>120</v>
      </c>
      <c r="O1022">
        <v>9</v>
      </c>
      <c r="P1022" s="3">
        <v>44830</v>
      </c>
      <c r="Q1022">
        <v>39</v>
      </c>
    </row>
    <row r="1023" spans="1:17" x14ac:dyDescent="0.3">
      <c r="A1023" s="1" t="s">
        <v>1473</v>
      </c>
      <c r="B1023" s="2">
        <v>44830.384722222225</v>
      </c>
      <c r="C1023" s="1" t="s">
        <v>37</v>
      </c>
      <c r="D1023" s="1" t="s">
        <v>19</v>
      </c>
      <c r="E1023" s="1" t="s">
        <v>58</v>
      </c>
      <c r="F1023" s="1" t="s">
        <v>77</v>
      </c>
      <c r="G1023" s="1" t="s">
        <v>77</v>
      </c>
      <c r="H1023" s="1" t="s">
        <v>77</v>
      </c>
      <c r="I1023" s="1" t="s">
        <v>77</v>
      </c>
      <c r="J1023" s="1" t="s">
        <v>77</v>
      </c>
      <c r="K1023" s="1" t="s">
        <v>77</v>
      </c>
      <c r="L1023">
        <v>20220926091428</v>
      </c>
      <c r="M1023" s="1" t="s">
        <v>1478</v>
      </c>
      <c r="N1023" s="1" t="s">
        <v>120</v>
      </c>
      <c r="O1023">
        <v>9</v>
      </c>
      <c r="P1023" s="3">
        <v>44830</v>
      </c>
      <c r="Q1023">
        <v>39</v>
      </c>
    </row>
    <row r="1024" spans="1:17" x14ac:dyDescent="0.3">
      <c r="A1024" s="1" t="s">
        <v>1479</v>
      </c>
      <c r="B1024" s="2">
        <v>44831.398611111108</v>
      </c>
      <c r="C1024" s="1" t="s">
        <v>37</v>
      </c>
      <c r="D1024" s="1" t="s">
        <v>26</v>
      </c>
      <c r="E1024" s="1" t="s">
        <v>27</v>
      </c>
      <c r="F1024" s="1" t="s">
        <v>77</v>
      </c>
      <c r="G1024" s="1" t="s">
        <v>77</v>
      </c>
      <c r="H1024" s="1" t="s">
        <v>77</v>
      </c>
      <c r="I1024" s="1" t="s">
        <v>77</v>
      </c>
      <c r="J1024" s="1" t="s">
        <v>77</v>
      </c>
      <c r="K1024" s="1" t="s">
        <v>77</v>
      </c>
      <c r="L1024">
        <v>20220927093407</v>
      </c>
      <c r="M1024" s="1" t="s">
        <v>1480</v>
      </c>
      <c r="N1024" s="1" t="s">
        <v>140</v>
      </c>
      <c r="O1024">
        <v>9</v>
      </c>
      <c r="P1024" s="3">
        <v>44831</v>
      </c>
      <c r="Q1024">
        <v>39</v>
      </c>
    </row>
    <row r="1025" spans="1:17" x14ac:dyDescent="0.3">
      <c r="A1025" s="1" t="s">
        <v>1479</v>
      </c>
      <c r="B1025" s="2">
        <v>44831.398611111108</v>
      </c>
      <c r="C1025" s="1" t="s">
        <v>37</v>
      </c>
      <c r="D1025" s="1" t="s">
        <v>195</v>
      </c>
      <c r="E1025" s="1" t="s">
        <v>21</v>
      </c>
      <c r="F1025" s="1" t="s">
        <v>77</v>
      </c>
      <c r="G1025" s="1" t="s">
        <v>77</v>
      </c>
      <c r="H1025" s="1" t="s">
        <v>77</v>
      </c>
      <c r="I1025" s="1" t="s">
        <v>77</v>
      </c>
      <c r="J1025" s="1" t="s">
        <v>77</v>
      </c>
      <c r="K1025" s="1" t="s">
        <v>77</v>
      </c>
      <c r="L1025">
        <v>20220927093414</v>
      </c>
      <c r="M1025" s="1" t="s">
        <v>1481</v>
      </c>
      <c r="N1025" s="1" t="s">
        <v>140</v>
      </c>
      <c r="O1025">
        <v>9</v>
      </c>
      <c r="P1025" s="3">
        <v>44831</v>
      </c>
      <c r="Q1025">
        <v>39</v>
      </c>
    </row>
    <row r="1026" spans="1:17" x14ac:dyDescent="0.3">
      <c r="A1026" s="1" t="s">
        <v>1479</v>
      </c>
      <c r="B1026" s="2">
        <v>44831.398611111108</v>
      </c>
      <c r="C1026" s="1" t="s">
        <v>37</v>
      </c>
      <c r="D1026" s="1" t="s">
        <v>38</v>
      </c>
      <c r="E1026" s="1" t="s">
        <v>39</v>
      </c>
      <c r="F1026" s="1" t="s">
        <v>77</v>
      </c>
      <c r="G1026" s="1" t="s">
        <v>77</v>
      </c>
      <c r="H1026" s="1" t="s">
        <v>77</v>
      </c>
      <c r="I1026" s="1" t="s">
        <v>77</v>
      </c>
      <c r="J1026" s="1" t="s">
        <v>77</v>
      </c>
      <c r="K1026" s="1" t="s">
        <v>77</v>
      </c>
      <c r="L1026">
        <v>20220927093437</v>
      </c>
      <c r="M1026" s="1" t="s">
        <v>1482</v>
      </c>
      <c r="N1026" s="1" t="s">
        <v>140</v>
      </c>
      <c r="O1026">
        <v>9</v>
      </c>
      <c r="P1026" s="3">
        <v>44831</v>
      </c>
      <c r="Q1026">
        <v>39</v>
      </c>
    </row>
    <row r="1027" spans="1:17" x14ac:dyDescent="0.3">
      <c r="A1027" s="1" t="s">
        <v>1479</v>
      </c>
      <c r="B1027" s="2">
        <v>44831.398611111108</v>
      </c>
      <c r="C1027" s="1" t="s">
        <v>37</v>
      </c>
      <c r="D1027" s="1" t="s">
        <v>41</v>
      </c>
      <c r="E1027" s="1" t="s">
        <v>42</v>
      </c>
      <c r="F1027" s="1" t="s">
        <v>77</v>
      </c>
      <c r="G1027" s="1" t="s">
        <v>77</v>
      </c>
      <c r="H1027" s="1" t="s">
        <v>77</v>
      </c>
      <c r="I1027" s="1" t="s">
        <v>77</v>
      </c>
      <c r="J1027" s="1" t="s">
        <v>77</v>
      </c>
      <c r="K1027" s="1" t="s">
        <v>77</v>
      </c>
      <c r="L1027">
        <v>20220927093445</v>
      </c>
      <c r="M1027" s="1" t="s">
        <v>1483</v>
      </c>
      <c r="N1027" s="1" t="s">
        <v>140</v>
      </c>
      <c r="O1027">
        <v>9</v>
      </c>
      <c r="P1027" s="3">
        <v>44831</v>
      </c>
      <c r="Q1027">
        <v>39</v>
      </c>
    </row>
    <row r="1028" spans="1:17" x14ac:dyDescent="0.3">
      <c r="A1028" s="1" t="s">
        <v>1484</v>
      </c>
      <c r="B1028" s="2">
        <v>44831.399305555555</v>
      </c>
      <c r="C1028" s="1" t="s">
        <v>37</v>
      </c>
      <c r="D1028" s="1" t="s">
        <v>44</v>
      </c>
      <c r="E1028" s="1" t="s">
        <v>45</v>
      </c>
      <c r="F1028" s="1" t="s">
        <v>77</v>
      </c>
      <c r="G1028" s="1" t="s">
        <v>77</v>
      </c>
      <c r="H1028" s="1" t="s">
        <v>77</v>
      </c>
      <c r="I1028" s="1" t="s">
        <v>77</v>
      </c>
      <c r="J1028" s="1" t="s">
        <v>77</v>
      </c>
      <c r="K1028" s="1" t="s">
        <v>77</v>
      </c>
      <c r="L1028">
        <v>20220927093509</v>
      </c>
      <c r="M1028" s="1" t="s">
        <v>1485</v>
      </c>
      <c r="N1028" s="1" t="s">
        <v>140</v>
      </c>
      <c r="O1028">
        <v>9</v>
      </c>
      <c r="P1028" s="3">
        <v>44831</v>
      </c>
      <c r="Q1028">
        <v>39</v>
      </c>
    </row>
    <row r="1029" spans="1:17" x14ac:dyDescent="0.3">
      <c r="A1029" s="1" t="s">
        <v>1484</v>
      </c>
      <c r="B1029" s="2">
        <v>44831.399305555555</v>
      </c>
      <c r="C1029" s="1" t="s">
        <v>37</v>
      </c>
      <c r="D1029" s="1" t="s">
        <v>47</v>
      </c>
      <c r="E1029" s="1" t="s">
        <v>51</v>
      </c>
      <c r="F1029" s="1" t="s">
        <v>77</v>
      </c>
      <c r="G1029" s="1" t="s">
        <v>77</v>
      </c>
      <c r="H1029" s="1" t="s">
        <v>77</v>
      </c>
      <c r="I1029" s="1" t="s">
        <v>77</v>
      </c>
      <c r="J1029" s="1" t="s">
        <v>77</v>
      </c>
      <c r="K1029" s="1" t="s">
        <v>77</v>
      </c>
      <c r="L1029">
        <v>20220927093517</v>
      </c>
      <c r="M1029" s="1" t="s">
        <v>1486</v>
      </c>
      <c r="N1029" s="1" t="s">
        <v>140</v>
      </c>
      <c r="O1029">
        <v>9</v>
      </c>
      <c r="P1029" s="3">
        <v>44831</v>
      </c>
      <c r="Q1029">
        <v>39</v>
      </c>
    </row>
    <row r="1030" spans="1:17" x14ac:dyDescent="0.3">
      <c r="A1030" s="1" t="s">
        <v>1484</v>
      </c>
      <c r="B1030" s="2">
        <v>44831.399305555555</v>
      </c>
      <c r="C1030" s="1" t="s">
        <v>37</v>
      </c>
      <c r="D1030" s="1" t="s">
        <v>47</v>
      </c>
      <c r="E1030" s="1" t="s">
        <v>536</v>
      </c>
      <c r="F1030" s="1" t="s">
        <v>77</v>
      </c>
      <c r="G1030" s="1" t="s">
        <v>77</v>
      </c>
      <c r="H1030" s="1" t="s">
        <v>77</v>
      </c>
      <c r="I1030" s="1" t="s">
        <v>77</v>
      </c>
      <c r="J1030" s="1" t="s">
        <v>77</v>
      </c>
      <c r="K1030" s="1" t="s">
        <v>77</v>
      </c>
      <c r="L1030">
        <v>20220927093525</v>
      </c>
      <c r="M1030" s="1" t="s">
        <v>1487</v>
      </c>
      <c r="N1030" s="1" t="s">
        <v>140</v>
      </c>
      <c r="O1030">
        <v>9</v>
      </c>
      <c r="P1030" s="3">
        <v>44831</v>
      </c>
      <c r="Q1030">
        <v>39</v>
      </c>
    </row>
    <row r="1031" spans="1:17" x14ac:dyDescent="0.3">
      <c r="A1031" s="1" t="s">
        <v>1484</v>
      </c>
      <c r="B1031" s="2">
        <v>44831.399305555555</v>
      </c>
      <c r="C1031" s="1" t="s">
        <v>37</v>
      </c>
      <c r="D1031" s="1" t="s">
        <v>53</v>
      </c>
      <c r="E1031" s="1" t="s">
        <v>54</v>
      </c>
      <c r="F1031" s="1" t="s">
        <v>77</v>
      </c>
      <c r="G1031" s="1" t="s">
        <v>77</v>
      </c>
      <c r="H1031" s="1" t="s">
        <v>77</v>
      </c>
      <c r="I1031" s="1" t="s">
        <v>77</v>
      </c>
      <c r="J1031" s="1" t="s">
        <v>77</v>
      </c>
      <c r="K1031" s="1" t="s">
        <v>77</v>
      </c>
      <c r="L1031">
        <v>20220927093531</v>
      </c>
      <c r="M1031" s="1" t="s">
        <v>1488</v>
      </c>
      <c r="N1031" s="1" t="s">
        <v>140</v>
      </c>
      <c r="O1031">
        <v>9</v>
      </c>
      <c r="P1031" s="3">
        <v>44831</v>
      </c>
      <c r="Q1031">
        <v>39</v>
      </c>
    </row>
    <row r="1032" spans="1:17" x14ac:dyDescent="0.3">
      <c r="A1032" s="1" t="s">
        <v>1484</v>
      </c>
      <c r="B1032" s="2">
        <v>44831.399305555555</v>
      </c>
      <c r="C1032" s="1" t="s">
        <v>37</v>
      </c>
      <c r="D1032" s="1" t="s">
        <v>53</v>
      </c>
      <c r="E1032" s="1" t="s">
        <v>56</v>
      </c>
      <c r="F1032" s="1" t="s">
        <v>77</v>
      </c>
      <c r="G1032" s="1" t="s">
        <v>77</v>
      </c>
      <c r="H1032" s="1" t="s">
        <v>77</v>
      </c>
      <c r="I1032" s="1" t="s">
        <v>77</v>
      </c>
      <c r="J1032" s="1" t="s">
        <v>77</v>
      </c>
      <c r="K1032" s="1" t="s">
        <v>77</v>
      </c>
      <c r="L1032">
        <v>20220927093539</v>
      </c>
      <c r="M1032" s="1" t="s">
        <v>1489</v>
      </c>
      <c r="N1032" s="1" t="s">
        <v>140</v>
      </c>
      <c r="O1032">
        <v>9</v>
      </c>
      <c r="P1032" s="3">
        <v>44831</v>
      </c>
      <c r="Q1032">
        <v>39</v>
      </c>
    </row>
    <row r="1033" spans="1:17" x14ac:dyDescent="0.3">
      <c r="A1033" s="1" t="s">
        <v>1484</v>
      </c>
      <c r="B1033" s="2">
        <v>44831.399305555555</v>
      </c>
      <c r="C1033" s="1" t="s">
        <v>37</v>
      </c>
      <c r="D1033" s="1" t="s">
        <v>19</v>
      </c>
      <c r="E1033" s="1" t="s">
        <v>58</v>
      </c>
      <c r="F1033" s="1" t="s">
        <v>77</v>
      </c>
      <c r="G1033" s="1" t="s">
        <v>77</v>
      </c>
      <c r="H1033" s="1" t="s">
        <v>77</v>
      </c>
      <c r="I1033" s="1" t="s">
        <v>77</v>
      </c>
      <c r="J1033" s="1" t="s">
        <v>77</v>
      </c>
      <c r="K1033" s="1" t="s">
        <v>77</v>
      </c>
      <c r="L1033">
        <v>20220927093551</v>
      </c>
      <c r="M1033" s="1" t="s">
        <v>1490</v>
      </c>
      <c r="N1033" s="1" t="s">
        <v>140</v>
      </c>
      <c r="O1033">
        <v>9</v>
      </c>
      <c r="P1033" s="3">
        <v>44831</v>
      </c>
      <c r="Q1033">
        <v>39</v>
      </c>
    </row>
    <row r="1034" spans="1:17" x14ac:dyDescent="0.3">
      <c r="A1034" s="1" t="s">
        <v>1484</v>
      </c>
      <c r="B1034" s="2">
        <v>44831.4</v>
      </c>
      <c r="C1034" s="1" t="s">
        <v>37</v>
      </c>
      <c r="D1034" s="1" t="s">
        <v>60</v>
      </c>
      <c r="E1034" s="1" t="s">
        <v>61</v>
      </c>
      <c r="F1034" s="1" t="s">
        <v>77</v>
      </c>
      <c r="G1034" s="1" t="s">
        <v>77</v>
      </c>
      <c r="H1034" s="1" t="s">
        <v>77</v>
      </c>
      <c r="I1034" s="1" t="s">
        <v>77</v>
      </c>
      <c r="J1034" s="1" t="s">
        <v>77</v>
      </c>
      <c r="K1034" s="1" t="s">
        <v>77</v>
      </c>
      <c r="L1034">
        <v>20220927093558</v>
      </c>
      <c r="M1034" s="1" t="s">
        <v>1491</v>
      </c>
      <c r="N1034" s="1" t="s">
        <v>140</v>
      </c>
      <c r="O1034">
        <v>9</v>
      </c>
      <c r="P1034" s="3">
        <v>44831</v>
      </c>
      <c r="Q1034">
        <v>39</v>
      </c>
    </row>
    <row r="1035" spans="1:17" x14ac:dyDescent="0.3">
      <c r="A1035" s="1" t="s">
        <v>1492</v>
      </c>
      <c r="B1035" s="2">
        <v>44831.4</v>
      </c>
      <c r="C1035" s="1" t="s">
        <v>37</v>
      </c>
      <c r="D1035" s="1" t="s">
        <v>29</v>
      </c>
      <c r="E1035" s="1" t="s">
        <v>30</v>
      </c>
      <c r="F1035" s="1" t="s">
        <v>77</v>
      </c>
      <c r="G1035" s="1" t="s">
        <v>77</v>
      </c>
      <c r="H1035" s="1" t="s">
        <v>77</v>
      </c>
      <c r="I1035" s="1" t="s">
        <v>77</v>
      </c>
      <c r="J1035" s="1" t="s">
        <v>77</v>
      </c>
      <c r="K1035" s="1" t="s">
        <v>77</v>
      </c>
      <c r="L1035">
        <v>20220927093605</v>
      </c>
      <c r="M1035" s="1" t="s">
        <v>1493</v>
      </c>
      <c r="N1035" s="1" t="s">
        <v>140</v>
      </c>
      <c r="O1035">
        <v>9</v>
      </c>
      <c r="P1035" s="3">
        <v>44831</v>
      </c>
      <c r="Q1035">
        <v>39</v>
      </c>
    </row>
    <row r="1036" spans="1:17" x14ac:dyDescent="0.3">
      <c r="A1036" s="1" t="s">
        <v>1492</v>
      </c>
      <c r="B1036" s="2">
        <v>44831.4</v>
      </c>
      <c r="C1036" s="1" t="s">
        <v>37</v>
      </c>
      <c r="D1036" s="1" t="s">
        <v>29</v>
      </c>
      <c r="E1036" s="1" t="s">
        <v>554</v>
      </c>
      <c r="F1036" s="1" t="s">
        <v>77</v>
      </c>
      <c r="G1036" s="1" t="s">
        <v>77</v>
      </c>
      <c r="H1036" s="1" t="s">
        <v>77</v>
      </c>
      <c r="I1036" s="1" t="s">
        <v>77</v>
      </c>
      <c r="J1036" s="1" t="s">
        <v>77</v>
      </c>
      <c r="K1036" s="1" t="s">
        <v>77</v>
      </c>
      <c r="L1036">
        <v>20220927093612</v>
      </c>
      <c r="M1036" s="1" t="s">
        <v>1494</v>
      </c>
      <c r="N1036" s="1" t="s">
        <v>140</v>
      </c>
      <c r="O1036">
        <v>9</v>
      </c>
      <c r="P1036" s="3">
        <v>44831</v>
      </c>
      <c r="Q1036">
        <v>39</v>
      </c>
    </row>
    <row r="1037" spans="1:17" x14ac:dyDescent="0.3">
      <c r="A1037" s="1" t="s">
        <v>1492</v>
      </c>
      <c r="B1037" s="2">
        <v>44831.4</v>
      </c>
      <c r="C1037" s="1" t="s">
        <v>18</v>
      </c>
      <c r="D1037" s="1" t="s">
        <v>47</v>
      </c>
      <c r="E1037" s="1" t="s">
        <v>77</v>
      </c>
      <c r="F1037" s="1" t="s">
        <v>77</v>
      </c>
      <c r="G1037" s="1" t="s">
        <v>77</v>
      </c>
      <c r="H1037" s="1" t="s">
        <v>77</v>
      </c>
      <c r="I1037" s="1" t="s">
        <v>77</v>
      </c>
      <c r="J1037" s="1" t="s">
        <v>48</v>
      </c>
      <c r="K1037" s="1" t="s">
        <v>1340</v>
      </c>
      <c r="L1037">
        <v>20220927093619</v>
      </c>
      <c r="M1037" s="1" t="s">
        <v>1495</v>
      </c>
      <c r="N1037" s="1" t="s">
        <v>140</v>
      </c>
      <c r="O1037">
        <v>9</v>
      </c>
      <c r="P1037" s="3">
        <v>44831</v>
      </c>
      <c r="Q1037">
        <v>39</v>
      </c>
    </row>
    <row r="1038" spans="1:17" x14ac:dyDescent="0.3">
      <c r="A1038" s="1" t="s">
        <v>1496</v>
      </c>
      <c r="B1038" s="2">
        <v>44832.388194444444</v>
      </c>
      <c r="C1038" s="1" t="s">
        <v>37</v>
      </c>
      <c r="D1038" s="1" t="s">
        <v>26</v>
      </c>
      <c r="E1038" s="1" t="s">
        <v>27</v>
      </c>
      <c r="F1038" s="1" t="s">
        <v>77</v>
      </c>
      <c r="G1038" s="1" t="s">
        <v>77</v>
      </c>
      <c r="H1038" s="1" t="s">
        <v>77</v>
      </c>
      <c r="I1038" s="1" t="s">
        <v>77</v>
      </c>
      <c r="J1038" s="1" t="s">
        <v>77</v>
      </c>
      <c r="K1038" s="1" t="s">
        <v>77</v>
      </c>
      <c r="L1038">
        <v>20220928091946</v>
      </c>
      <c r="M1038" s="1" t="s">
        <v>1497</v>
      </c>
      <c r="N1038" s="1" t="s">
        <v>24</v>
      </c>
      <c r="O1038">
        <v>9</v>
      </c>
      <c r="P1038" s="3">
        <v>44832</v>
      </c>
      <c r="Q1038">
        <v>39</v>
      </c>
    </row>
    <row r="1039" spans="1:17" x14ac:dyDescent="0.3">
      <c r="A1039" s="1" t="s">
        <v>1496</v>
      </c>
      <c r="B1039" s="2">
        <v>44832.388194444444</v>
      </c>
      <c r="C1039" s="1" t="s">
        <v>37</v>
      </c>
      <c r="D1039" s="1" t="s">
        <v>195</v>
      </c>
      <c r="E1039" s="1" t="s">
        <v>21</v>
      </c>
      <c r="F1039" s="1" t="s">
        <v>77</v>
      </c>
      <c r="G1039" s="1" t="s">
        <v>77</v>
      </c>
      <c r="H1039" s="1" t="s">
        <v>77</v>
      </c>
      <c r="I1039" s="1" t="s">
        <v>77</v>
      </c>
      <c r="J1039" s="1" t="s">
        <v>77</v>
      </c>
      <c r="K1039" s="1" t="s">
        <v>77</v>
      </c>
      <c r="L1039">
        <v>20220928091954</v>
      </c>
      <c r="M1039" s="1" t="s">
        <v>1498</v>
      </c>
      <c r="N1039" s="1" t="s">
        <v>24</v>
      </c>
      <c r="O1039">
        <v>9</v>
      </c>
      <c r="P1039" s="3">
        <v>44832</v>
      </c>
      <c r="Q1039">
        <v>39</v>
      </c>
    </row>
    <row r="1040" spans="1:17" x14ac:dyDescent="0.3">
      <c r="A1040" s="1" t="s">
        <v>1499</v>
      </c>
      <c r="B1040" s="2">
        <v>44832.388888888891</v>
      </c>
      <c r="C1040" s="1" t="s">
        <v>37</v>
      </c>
      <c r="D1040" s="1" t="s">
        <v>38</v>
      </c>
      <c r="E1040" s="1" t="s">
        <v>39</v>
      </c>
      <c r="F1040" s="1" t="s">
        <v>77</v>
      </c>
      <c r="G1040" s="1" t="s">
        <v>77</v>
      </c>
      <c r="H1040" s="1" t="s">
        <v>77</v>
      </c>
      <c r="I1040" s="1" t="s">
        <v>77</v>
      </c>
      <c r="J1040" s="1" t="s">
        <v>77</v>
      </c>
      <c r="K1040" s="1" t="s">
        <v>77</v>
      </c>
      <c r="L1040">
        <v>20220928092002</v>
      </c>
      <c r="M1040" s="1" t="s">
        <v>1500</v>
      </c>
      <c r="N1040" s="1" t="s">
        <v>24</v>
      </c>
      <c r="O1040">
        <v>9</v>
      </c>
      <c r="P1040" s="3">
        <v>44832</v>
      </c>
      <c r="Q1040">
        <v>39</v>
      </c>
    </row>
    <row r="1041" spans="1:17" x14ac:dyDescent="0.3">
      <c r="A1041" s="1" t="s">
        <v>1499</v>
      </c>
      <c r="B1041" s="2">
        <v>44832.388888888891</v>
      </c>
      <c r="C1041" s="1" t="s">
        <v>37</v>
      </c>
      <c r="D1041" s="1" t="s">
        <v>41</v>
      </c>
      <c r="E1041" s="1" t="s">
        <v>42</v>
      </c>
      <c r="F1041" s="1" t="s">
        <v>77</v>
      </c>
      <c r="G1041" s="1" t="s">
        <v>77</v>
      </c>
      <c r="H1041" s="1" t="s">
        <v>77</v>
      </c>
      <c r="I1041" s="1" t="s">
        <v>77</v>
      </c>
      <c r="J1041" s="1" t="s">
        <v>77</v>
      </c>
      <c r="K1041" s="1" t="s">
        <v>77</v>
      </c>
      <c r="L1041">
        <v>20220928092008</v>
      </c>
      <c r="M1041" s="1" t="s">
        <v>1501</v>
      </c>
      <c r="N1041" s="1" t="s">
        <v>24</v>
      </c>
      <c r="O1041">
        <v>9</v>
      </c>
      <c r="P1041" s="3">
        <v>44832</v>
      </c>
      <c r="Q1041">
        <v>39</v>
      </c>
    </row>
    <row r="1042" spans="1:17" x14ac:dyDescent="0.3">
      <c r="A1042" s="1" t="s">
        <v>1499</v>
      </c>
      <c r="B1042" s="2">
        <v>44832.388888888891</v>
      </c>
      <c r="C1042" s="1" t="s">
        <v>37</v>
      </c>
      <c r="D1042" s="1" t="s">
        <v>44</v>
      </c>
      <c r="E1042" s="1" t="s">
        <v>45</v>
      </c>
      <c r="F1042" s="1" t="s">
        <v>77</v>
      </c>
      <c r="G1042" s="1" t="s">
        <v>77</v>
      </c>
      <c r="H1042" s="1" t="s">
        <v>77</v>
      </c>
      <c r="I1042" s="1" t="s">
        <v>77</v>
      </c>
      <c r="J1042" s="1" t="s">
        <v>77</v>
      </c>
      <c r="K1042" s="1" t="s">
        <v>77</v>
      </c>
      <c r="L1042">
        <v>20220928092014</v>
      </c>
      <c r="M1042" s="1" t="s">
        <v>1502</v>
      </c>
      <c r="N1042" s="1" t="s">
        <v>24</v>
      </c>
      <c r="O1042">
        <v>9</v>
      </c>
      <c r="P1042" s="3">
        <v>44832</v>
      </c>
      <c r="Q1042">
        <v>39</v>
      </c>
    </row>
    <row r="1043" spans="1:17" x14ac:dyDescent="0.3">
      <c r="A1043" s="1" t="s">
        <v>1499</v>
      </c>
      <c r="B1043" s="2">
        <v>44832.388888888891</v>
      </c>
      <c r="C1043" s="1" t="s">
        <v>37</v>
      </c>
      <c r="D1043" s="1" t="s">
        <v>47</v>
      </c>
      <c r="E1043" s="1" t="s">
        <v>51</v>
      </c>
      <c r="F1043" s="1" t="s">
        <v>77</v>
      </c>
      <c r="G1043" s="1" t="s">
        <v>77</v>
      </c>
      <c r="H1043" s="1" t="s">
        <v>77</v>
      </c>
      <c r="I1043" s="1" t="s">
        <v>77</v>
      </c>
      <c r="J1043" s="1" t="s">
        <v>77</v>
      </c>
      <c r="K1043" s="1" t="s">
        <v>77</v>
      </c>
      <c r="L1043">
        <v>20220928092021</v>
      </c>
      <c r="M1043" s="1" t="s">
        <v>1503</v>
      </c>
      <c r="N1043" s="1" t="s">
        <v>24</v>
      </c>
      <c r="O1043">
        <v>9</v>
      </c>
      <c r="P1043" s="3">
        <v>44832</v>
      </c>
      <c r="Q1043">
        <v>39</v>
      </c>
    </row>
    <row r="1044" spans="1:17" x14ac:dyDescent="0.3">
      <c r="A1044" s="1" t="s">
        <v>1499</v>
      </c>
      <c r="B1044" s="2">
        <v>44832.388888888891</v>
      </c>
      <c r="C1044" s="1" t="s">
        <v>37</v>
      </c>
      <c r="D1044" s="1" t="s">
        <v>47</v>
      </c>
      <c r="E1044" s="1" t="s">
        <v>536</v>
      </c>
      <c r="F1044" s="1" t="s">
        <v>77</v>
      </c>
      <c r="G1044" s="1" t="s">
        <v>77</v>
      </c>
      <c r="H1044" s="1" t="s">
        <v>77</v>
      </c>
      <c r="I1044" s="1" t="s">
        <v>77</v>
      </c>
      <c r="J1044" s="1" t="s">
        <v>77</v>
      </c>
      <c r="K1044" s="1" t="s">
        <v>77</v>
      </c>
      <c r="L1044">
        <v>20220928092037</v>
      </c>
      <c r="M1044" s="1" t="s">
        <v>1504</v>
      </c>
      <c r="N1044" s="1" t="s">
        <v>24</v>
      </c>
      <c r="O1044">
        <v>9</v>
      </c>
      <c r="P1044" s="3">
        <v>44832</v>
      </c>
      <c r="Q1044">
        <v>39</v>
      </c>
    </row>
    <row r="1045" spans="1:17" x14ac:dyDescent="0.3">
      <c r="A1045" s="1" t="s">
        <v>1499</v>
      </c>
      <c r="B1045" s="2">
        <v>44832.388888888891</v>
      </c>
      <c r="C1045" s="1" t="s">
        <v>37</v>
      </c>
      <c r="D1045" s="1" t="s">
        <v>53</v>
      </c>
      <c r="E1045" s="1" t="s">
        <v>54</v>
      </c>
      <c r="F1045" s="1" t="s">
        <v>77</v>
      </c>
      <c r="G1045" s="1" t="s">
        <v>77</v>
      </c>
      <c r="H1045" s="1" t="s">
        <v>77</v>
      </c>
      <c r="I1045" s="1" t="s">
        <v>77</v>
      </c>
      <c r="J1045" s="1" t="s">
        <v>77</v>
      </c>
      <c r="K1045" s="1" t="s">
        <v>77</v>
      </c>
      <c r="L1045">
        <v>20220928092044</v>
      </c>
      <c r="M1045" s="1" t="s">
        <v>1505</v>
      </c>
      <c r="N1045" s="1" t="s">
        <v>24</v>
      </c>
      <c r="O1045">
        <v>9</v>
      </c>
      <c r="P1045" s="3">
        <v>44832</v>
      </c>
      <c r="Q1045">
        <v>39</v>
      </c>
    </row>
    <row r="1046" spans="1:17" x14ac:dyDescent="0.3">
      <c r="A1046" s="1" t="s">
        <v>1499</v>
      </c>
      <c r="B1046" s="2">
        <v>44832.388888888891</v>
      </c>
      <c r="C1046" s="1" t="s">
        <v>37</v>
      </c>
      <c r="D1046" s="1" t="s">
        <v>53</v>
      </c>
      <c r="E1046" s="1" t="s">
        <v>56</v>
      </c>
      <c r="F1046" s="1" t="s">
        <v>77</v>
      </c>
      <c r="G1046" s="1" t="s">
        <v>77</v>
      </c>
      <c r="H1046" s="1" t="s">
        <v>77</v>
      </c>
      <c r="I1046" s="1" t="s">
        <v>77</v>
      </c>
      <c r="J1046" s="1" t="s">
        <v>77</v>
      </c>
      <c r="K1046" s="1" t="s">
        <v>77</v>
      </c>
      <c r="L1046">
        <v>20220928092050</v>
      </c>
      <c r="M1046" s="1" t="s">
        <v>1506</v>
      </c>
      <c r="N1046" s="1" t="s">
        <v>24</v>
      </c>
      <c r="O1046">
        <v>9</v>
      </c>
      <c r="P1046" s="3">
        <v>44832</v>
      </c>
      <c r="Q1046">
        <v>39</v>
      </c>
    </row>
    <row r="1047" spans="1:17" x14ac:dyDescent="0.3">
      <c r="A1047" s="1" t="s">
        <v>1499</v>
      </c>
      <c r="B1047" s="2">
        <v>44832.38958333333</v>
      </c>
      <c r="C1047" s="1" t="s">
        <v>37</v>
      </c>
      <c r="D1047" s="1" t="s">
        <v>19</v>
      </c>
      <c r="E1047" s="1" t="s">
        <v>58</v>
      </c>
      <c r="F1047" s="1" t="s">
        <v>77</v>
      </c>
      <c r="G1047" s="1" t="s">
        <v>77</v>
      </c>
      <c r="H1047" s="1" t="s">
        <v>77</v>
      </c>
      <c r="I1047" s="1" t="s">
        <v>77</v>
      </c>
      <c r="J1047" s="1" t="s">
        <v>77</v>
      </c>
      <c r="K1047" s="1" t="s">
        <v>77</v>
      </c>
      <c r="L1047">
        <v>20220928092058</v>
      </c>
      <c r="M1047" s="1" t="s">
        <v>1507</v>
      </c>
      <c r="N1047" s="1" t="s">
        <v>24</v>
      </c>
      <c r="O1047">
        <v>9</v>
      </c>
      <c r="P1047" s="3">
        <v>44832</v>
      </c>
      <c r="Q1047">
        <v>39</v>
      </c>
    </row>
    <row r="1048" spans="1:17" x14ac:dyDescent="0.3">
      <c r="A1048" s="1" t="s">
        <v>1508</v>
      </c>
      <c r="B1048" s="2">
        <v>44832.38958333333</v>
      </c>
      <c r="C1048" s="1" t="s">
        <v>37</v>
      </c>
      <c r="D1048" s="1" t="s">
        <v>60</v>
      </c>
      <c r="E1048" s="1" t="s">
        <v>61</v>
      </c>
      <c r="F1048" s="1" t="s">
        <v>77</v>
      </c>
      <c r="G1048" s="1" t="s">
        <v>77</v>
      </c>
      <c r="H1048" s="1" t="s">
        <v>77</v>
      </c>
      <c r="I1048" s="1" t="s">
        <v>77</v>
      </c>
      <c r="J1048" s="1" t="s">
        <v>77</v>
      </c>
      <c r="K1048" s="1" t="s">
        <v>77</v>
      </c>
      <c r="L1048">
        <v>20220928092104</v>
      </c>
      <c r="M1048" s="1" t="s">
        <v>1509</v>
      </c>
      <c r="N1048" s="1" t="s">
        <v>24</v>
      </c>
      <c r="O1048">
        <v>9</v>
      </c>
      <c r="P1048" s="3">
        <v>44832</v>
      </c>
      <c r="Q1048">
        <v>39</v>
      </c>
    </row>
    <row r="1049" spans="1:17" x14ac:dyDescent="0.3">
      <c r="A1049" s="1" t="s">
        <v>1508</v>
      </c>
      <c r="B1049" s="2">
        <v>44832.38958333333</v>
      </c>
      <c r="C1049" s="1" t="s">
        <v>18</v>
      </c>
      <c r="D1049" s="1" t="s">
        <v>47</v>
      </c>
      <c r="E1049" s="1" t="s">
        <v>77</v>
      </c>
      <c r="F1049" s="1" t="s">
        <v>77</v>
      </c>
      <c r="G1049" s="1" t="s">
        <v>77</v>
      </c>
      <c r="H1049" s="1" t="s">
        <v>77</v>
      </c>
      <c r="I1049" s="1" t="s">
        <v>77</v>
      </c>
      <c r="J1049" s="1" t="s">
        <v>48</v>
      </c>
      <c r="K1049" s="1" t="s">
        <v>1340</v>
      </c>
      <c r="L1049">
        <v>20220928092129</v>
      </c>
      <c r="M1049" s="1" t="s">
        <v>1510</v>
      </c>
      <c r="N1049" s="1" t="s">
        <v>24</v>
      </c>
      <c r="O1049">
        <v>9</v>
      </c>
      <c r="P1049" s="3">
        <v>44832</v>
      </c>
      <c r="Q1049">
        <v>39</v>
      </c>
    </row>
    <row r="1050" spans="1:17" x14ac:dyDescent="0.3">
      <c r="A1050" s="1" t="s">
        <v>1508</v>
      </c>
      <c r="B1050" s="2">
        <v>44832.38958333333</v>
      </c>
      <c r="C1050" s="1" t="s">
        <v>18</v>
      </c>
      <c r="D1050" s="1" t="s">
        <v>29</v>
      </c>
      <c r="E1050" s="1" t="s">
        <v>77</v>
      </c>
      <c r="F1050" s="1" t="s">
        <v>77</v>
      </c>
      <c r="G1050" s="1" t="s">
        <v>77</v>
      </c>
      <c r="H1050" s="1" t="s">
        <v>77</v>
      </c>
      <c r="I1050" s="1" t="s">
        <v>77</v>
      </c>
      <c r="J1050" s="1" t="s">
        <v>30</v>
      </c>
      <c r="K1050" s="1" t="s">
        <v>175</v>
      </c>
      <c r="L1050">
        <v>20220928092146</v>
      </c>
      <c r="M1050" s="1" t="s">
        <v>1511</v>
      </c>
      <c r="N1050" s="1" t="s">
        <v>24</v>
      </c>
      <c r="O1050">
        <v>9</v>
      </c>
      <c r="P1050" s="3">
        <v>44832</v>
      </c>
      <c r="Q1050">
        <v>39</v>
      </c>
    </row>
    <row r="1051" spans="1:17" x14ac:dyDescent="0.3">
      <c r="A1051" s="1" t="s">
        <v>1508</v>
      </c>
      <c r="B1051" s="2">
        <v>44832.390277777777</v>
      </c>
      <c r="C1051" s="1" t="s">
        <v>18</v>
      </c>
      <c r="D1051" s="1" t="s">
        <v>29</v>
      </c>
      <c r="E1051" s="1" t="s">
        <v>77</v>
      </c>
      <c r="F1051" s="1" t="s">
        <v>77</v>
      </c>
      <c r="G1051" s="1" t="s">
        <v>77</v>
      </c>
      <c r="H1051" s="1" t="s">
        <v>77</v>
      </c>
      <c r="I1051" s="1" t="s">
        <v>77</v>
      </c>
      <c r="J1051" s="1" t="s">
        <v>554</v>
      </c>
      <c r="K1051" s="1" t="s">
        <v>175</v>
      </c>
      <c r="L1051">
        <v>20220928092156</v>
      </c>
      <c r="M1051" s="1" t="s">
        <v>1512</v>
      </c>
      <c r="N1051" s="1" t="s">
        <v>24</v>
      </c>
      <c r="O1051">
        <v>9</v>
      </c>
      <c r="P1051" s="3">
        <v>44832</v>
      </c>
      <c r="Q1051">
        <v>39</v>
      </c>
    </row>
    <row r="1052" spans="1:17" x14ac:dyDescent="0.3">
      <c r="A1052" s="1" t="s">
        <v>1513</v>
      </c>
      <c r="B1052" s="2">
        <v>44833.365972222222</v>
      </c>
      <c r="C1052" s="1" t="s">
        <v>37</v>
      </c>
      <c r="D1052" s="1" t="s">
        <v>26</v>
      </c>
      <c r="E1052" s="1" t="s">
        <v>27</v>
      </c>
      <c r="F1052" s="1" t="s">
        <v>77</v>
      </c>
      <c r="G1052" s="1" t="s">
        <v>77</v>
      </c>
      <c r="H1052" s="1" t="s">
        <v>77</v>
      </c>
      <c r="I1052" s="1" t="s">
        <v>77</v>
      </c>
      <c r="J1052" s="1" t="s">
        <v>77</v>
      </c>
      <c r="K1052" s="1" t="s">
        <v>77</v>
      </c>
      <c r="L1052">
        <v>20220929084711</v>
      </c>
      <c r="M1052" s="1" t="s">
        <v>1514</v>
      </c>
      <c r="N1052" s="1" t="s">
        <v>65</v>
      </c>
      <c r="O1052">
        <v>9</v>
      </c>
      <c r="P1052" s="3">
        <v>44833</v>
      </c>
      <c r="Q1052">
        <v>39</v>
      </c>
    </row>
    <row r="1053" spans="1:17" x14ac:dyDescent="0.3">
      <c r="A1053" s="1" t="s">
        <v>1515</v>
      </c>
      <c r="B1053" s="2">
        <v>44833.366666666669</v>
      </c>
      <c r="C1053" s="1" t="s">
        <v>37</v>
      </c>
      <c r="D1053" s="1" t="s">
        <v>195</v>
      </c>
      <c r="E1053" s="1" t="s">
        <v>21</v>
      </c>
      <c r="F1053" s="1" t="s">
        <v>77</v>
      </c>
      <c r="G1053" s="1" t="s">
        <v>77</v>
      </c>
      <c r="H1053" s="1" t="s">
        <v>77</v>
      </c>
      <c r="I1053" s="1" t="s">
        <v>77</v>
      </c>
      <c r="J1053" s="1" t="s">
        <v>77</v>
      </c>
      <c r="K1053" s="1" t="s">
        <v>77</v>
      </c>
      <c r="L1053">
        <v>20220929084802</v>
      </c>
      <c r="M1053" s="1" t="s">
        <v>1516</v>
      </c>
      <c r="N1053" s="1" t="s">
        <v>65</v>
      </c>
      <c r="O1053">
        <v>9</v>
      </c>
      <c r="P1053" s="3">
        <v>44833</v>
      </c>
      <c r="Q1053">
        <v>39</v>
      </c>
    </row>
    <row r="1054" spans="1:17" x14ac:dyDescent="0.3">
      <c r="A1054" s="1" t="s">
        <v>1515</v>
      </c>
      <c r="B1054" s="2">
        <v>44833.366666666669</v>
      </c>
      <c r="C1054" s="1" t="s">
        <v>37</v>
      </c>
      <c r="D1054" s="1" t="s">
        <v>38</v>
      </c>
      <c r="E1054" s="1" t="s">
        <v>39</v>
      </c>
      <c r="F1054" s="1" t="s">
        <v>77</v>
      </c>
      <c r="G1054" s="1" t="s">
        <v>77</v>
      </c>
      <c r="H1054" s="1" t="s">
        <v>77</v>
      </c>
      <c r="I1054" s="1" t="s">
        <v>77</v>
      </c>
      <c r="J1054" s="1" t="s">
        <v>77</v>
      </c>
      <c r="K1054" s="1" t="s">
        <v>77</v>
      </c>
      <c r="L1054">
        <v>20220929084810</v>
      </c>
      <c r="M1054" s="1" t="s">
        <v>1517</v>
      </c>
      <c r="N1054" s="1" t="s">
        <v>65</v>
      </c>
      <c r="O1054">
        <v>9</v>
      </c>
      <c r="P1054" s="3">
        <v>44833</v>
      </c>
      <c r="Q1054">
        <v>39</v>
      </c>
    </row>
    <row r="1055" spans="1:17" x14ac:dyDescent="0.3">
      <c r="A1055" s="1" t="s">
        <v>1515</v>
      </c>
      <c r="B1055" s="2">
        <v>44833.366666666669</v>
      </c>
      <c r="C1055" s="1" t="s">
        <v>37</v>
      </c>
      <c r="D1055" s="1" t="s">
        <v>41</v>
      </c>
      <c r="E1055" s="1" t="s">
        <v>42</v>
      </c>
      <c r="F1055" s="1" t="s">
        <v>77</v>
      </c>
      <c r="G1055" s="1" t="s">
        <v>77</v>
      </c>
      <c r="H1055" s="1" t="s">
        <v>77</v>
      </c>
      <c r="I1055" s="1" t="s">
        <v>77</v>
      </c>
      <c r="J1055" s="1" t="s">
        <v>77</v>
      </c>
      <c r="K1055" s="1" t="s">
        <v>77</v>
      </c>
      <c r="L1055">
        <v>20220929084817</v>
      </c>
      <c r="M1055" s="1" t="s">
        <v>1518</v>
      </c>
      <c r="N1055" s="1" t="s">
        <v>65</v>
      </c>
      <c r="O1055">
        <v>9</v>
      </c>
      <c r="P1055" s="3">
        <v>44833</v>
      </c>
      <c r="Q1055">
        <v>39</v>
      </c>
    </row>
    <row r="1056" spans="1:17" x14ac:dyDescent="0.3">
      <c r="A1056" s="1" t="s">
        <v>1515</v>
      </c>
      <c r="B1056" s="2">
        <v>44833.366666666669</v>
      </c>
      <c r="C1056" s="1" t="s">
        <v>37</v>
      </c>
      <c r="D1056" s="1" t="s">
        <v>44</v>
      </c>
      <c r="E1056" s="1" t="s">
        <v>45</v>
      </c>
      <c r="F1056" s="1" t="s">
        <v>77</v>
      </c>
      <c r="G1056" s="1" t="s">
        <v>77</v>
      </c>
      <c r="H1056" s="1" t="s">
        <v>77</v>
      </c>
      <c r="I1056" s="1" t="s">
        <v>77</v>
      </c>
      <c r="J1056" s="1" t="s">
        <v>77</v>
      </c>
      <c r="K1056" s="1" t="s">
        <v>77</v>
      </c>
      <c r="L1056">
        <v>20220929084823</v>
      </c>
      <c r="M1056" s="1" t="s">
        <v>1519</v>
      </c>
      <c r="N1056" s="1" t="s">
        <v>65</v>
      </c>
      <c r="O1056">
        <v>9</v>
      </c>
      <c r="P1056" s="3">
        <v>44833</v>
      </c>
      <c r="Q1056">
        <v>39</v>
      </c>
    </row>
    <row r="1057" spans="1:17" x14ac:dyDescent="0.3">
      <c r="A1057" s="1" t="s">
        <v>1515</v>
      </c>
      <c r="B1057" s="2">
        <v>44833.366666666669</v>
      </c>
      <c r="C1057" s="1" t="s">
        <v>37</v>
      </c>
      <c r="D1057" s="1" t="s">
        <v>47</v>
      </c>
      <c r="E1057" s="1" t="s">
        <v>51</v>
      </c>
      <c r="F1057" s="1" t="s">
        <v>77</v>
      </c>
      <c r="G1057" s="1" t="s">
        <v>77</v>
      </c>
      <c r="H1057" s="1" t="s">
        <v>77</v>
      </c>
      <c r="I1057" s="1" t="s">
        <v>77</v>
      </c>
      <c r="J1057" s="1" t="s">
        <v>77</v>
      </c>
      <c r="K1057" s="1" t="s">
        <v>77</v>
      </c>
      <c r="L1057">
        <v>20220929084831</v>
      </c>
      <c r="M1057" s="1" t="s">
        <v>1520</v>
      </c>
      <c r="N1057" s="1" t="s">
        <v>65</v>
      </c>
      <c r="O1057">
        <v>9</v>
      </c>
      <c r="P1057" s="3">
        <v>44833</v>
      </c>
      <c r="Q1057">
        <v>39</v>
      </c>
    </row>
    <row r="1058" spans="1:17" x14ac:dyDescent="0.3">
      <c r="A1058" s="1" t="s">
        <v>1515</v>
      </c>
      <c r="B1058" s="2">
        <v>44833.366666666669</v>
      </c>
      <c r="C1058" s="1" t="s">
        <v>37</v>
      </c>
      <c r="D1058" s="1" t="s">
        <v>47</v>
      </c>
      <c r="E1058" s="1" t="s">
        <v>536</v>
      </c>
      <c r="F1058" s="1" t="s">
        <v>77</v>
      </c>
      <c r="G1058" s="1" t="s">
        <v>77</v>
      </c>
      <c r="H1058" s="1" t="s">
        <v>77</v>
      </c>
      <c r="I1058" s="1" t="s">
        <v>77</v>
      </c>
      <c r="J1058" s="1" t="s">
        <v>77</v>
      </c>
      <c r="K1058" s="1" t="s">
        <v>77</v>
      </c>
      <c r="L1058">
        <v>20220929084842</v>
      </c>
      <c r="M1058" s="1" t="s">
        <v>1521</v>
      </c>
      <c r="N1058" s="1" t="s">
        <v>65</v>
      </c>
      <c r="O1058">
        <v>9</v>
      </c>
      <c r="P1058" s="3">
        <v>44833</v>
      </c>
      <c r="Q1058">
        <v>39</v>
      </c>
    </row>
    <row r="1059" spans="1:17" x14ac:dyDescent="0.3">
      <c r="A1059" s="1" t="s">
        <v>1515</v>
      </c>
      <c r="B1059" s="2">
        <v>44833.366666666669</v>
      </c>
      <c r="C1059" s="1" t="s">
        <v>37</v>
      </c>
      <c r="D1059" s="1" t="s">
        <v>53</v>
      </c>
      <c r="E1059" s="1" t="s">
        <v>54</v>
      </c>
      <c r="F1059" s="1" t="s">
        <v>77</v>
      </c>
      <c r="G1059" s="1" t="s">
        <v>77</v>
      </c>
      <c r="H1059" s="1" t="s">
        <v>77</v>
      </c>
      <c r="I1059" s="1" t="s">
        <v>77</v>
      </c>
      <c r="J1059" s="1" t="s">
        <v>77</v>
      </c>
      <c r="K1059" s="1" t="s">
        <v>77</v>
      </c>
      <c r="L1059">
        <v>20220929084850</v>
      </c>
      <c r="M1059" s="1" t="s">
        <v>1522</v>
      </c>
      <c r="N1059" s="1" t="s">
        <v>65</v>
      </c>
      <c r="O1059">
        <v>9</v>
      </c>
      <c r="P1059" s="3">
        <v>44833</v>
      </c>
      <c r="Q1059">
        <v>39</v>
      </c>
    </row>
    <row r="1060" spans="1:17" x14ac:dyDescent="0.3">
      <c r="A1060" s="1" t="s">
        <v>1515</v>
      </c>
      <c r="B1060" s="2">
        <v>44833.367361111108</v>
      </c>
      <c r="C1060" s="1" t="s">
        <v>37</v>
      </c>
      <c r="D1060" s="1" t="s">
        <v>53</v>
      </c>
      <c r="E1060" s="1" t="s">
        <v>56</v>
      </c>
      <c r="F1060" s="1" t="s">
        <v>77</v>
      </c>
      <c r="G1060" s="1" t="s">
        <v>77</v>
      </c>
      <c r="H1060" s="1" t="s">
        <v>77</v>
      </c>
      <c r="I1060" s="1" t="s">
        <v>77</v>
      </c>
      <c r="J1060" s="1" t="s">
        <v>77</v>
      </c>
      <c r="K1060" s="1" t="s">
        <v>77</v>
      </c>
      <c r="L1060">
        <v>20220929084858</v>
      </c>
      <c r="M1060" s="1" t="s">
        <v>1523</v>
      </c>
      <c r="N1060" s="1" t="s">
        <v>65</v>
      </c>
      <c r="O1060">
        <v>9</v>
      </c>
      <c r="P1060" s="3">
        <v>44833</v>
      </c>
      <c r="Q1060">
        <v>39</v>
      </c>
    </row>
    <row r="1061" spans="1:17" x14ac:dyDescent="0.3">
      <c r="A1061" s="1" t="s">
        <v>1524</v>
      </c>
      <c r="B1061" s="2">
        <v>44833.368055555555</v>
      </c>
      <c r="C1061" s="1" t="s">
        <v>37</v>
      </c>
      <c r="D1061" s="1" t="s">
        <v>19</v>
      </c>
      <c r="E1061" s="1" t="s">
        <v>58</v>
      </c>
      <c r="F1061" s="1" t="s">
        <v>77</v>
      </c>
      <c r="G1061" s="1" t="s">
        <v>77</v>
      </c>
      <c r="H1061" s="1" t="s">
        <v>77</v>
      </c>
      <c r="I1061" s="1" t="s">
        <v>77</v>
      </c>
      <c r="J1061" s="1" t="s">
        <v>77</v>
      </c>
      <c r="K1061" s="1" t="s">
        <v>77</v>
      </c>
      <c r="L1061">
        <v>20220929084957</v>
      </c>
      <c r="M1061" s="1" t="s">
        <v>1525</v>
      </c>
      <c r="N1061" s="1" t="s">
        <v>65</v>
      </c>
      <c r="O1061">
        <v>9</v>
      </c>
      <c r="P1061" s="3">
        <v>44833</v>
      </c>
      <c r="Q1061">
        <v>39</v>
      </c>
    </row>
    <row r="1062" spans="1:17" x14ac:dyDescent="0.3">
      <c r="A1062" s="1" t="s">
        <v>1526</v>
      </c>
      <c r="B1062" s="2">
        <v>44833.368055555555</v>
      </c>
      <c r="C1062" s="1" t="s">
        <v>37</v>
      </c>
      <c r="D1062" s="1" t="s">
        <v>60</v>
      </c>
      <c r="E1062" s="1" t="s">
        <v>61</v>
      </c>
      <c r="F1062" s="1" t="s">
        <v>77</v>
      </c>
      <c r="G1062" s="1" t="s">
        <v>77</v>
      </c>
      <c r="H1062" s="1" t="s">
        <v>77</v>
      </c>
      <c r="I1062" s="1" t="s">
        <v>77</v>
      </c>
      <c r="J1062" s="1" t="s">
        <v>77</v>
      </c>
      <c r="K1062" s="1" t="s">
        <v>77</v>
      </c>
      <c r="L1062">
        <v>20220929085004</v>
      </c>
      <c r="M1062" s="1" t="s">
        <v>1527</v>
      </c>
      <c r="N1062" s="1" t="s">
        <v>65</v>
      </c>
      <c r="O1062">
        <v>9</v>
      </c>
      <c r="P1062" s="3">
        <v>44833</v>
      </c>
      <c r="Q1062">
        <v>39</v>
      </c>
    </row>
    <row r="1063" spans="1:17" x14ac:dyDescent="0.3">
      <c r="A1063" s="1" t="s">
        <v>1526</v>
      </c>
      <c r="B1063" s="2">
        <v>44833.368055555555</v>
      </c>
      <c r="C1063" s="1" t="s">
        <v>18</v>
      </c>
      <c r="D1063" s="1" t="s">
        <v>29</v>
      </c>
      <c r="E1063" s="1" t="s">
        <v>20</v>
      </c>
      <c r="F1063" s="1" t="s">
        <v>77</v>
      </c>
      <c r="G1063" s="1" t="s">
        <v>77</v>
      </c>
      <c r="H1063" s="1" t="s">
        <v>77</v>
      </c>
      <c r="I1063" s="1" t="s">
        <v>77</v>
      </c>
      <c r="J1063" s="1" t="s">
        <v>30</v>
      </c>
      <c r="K1063" s="1" t="s">
        <v>171</v>
      </c>
      <c r="L1063">
        <v>20220929085016</v>
      </c>
      <c r="M1063" s="1" t="s">
        <v>1528</v>
      </c>
      <c r="N1063" s="1" t="s">
        <v>65</v>
      </c>
      <c r="O1063">
        <v>9</v>
      </c>
      <c r="P1063" s="3">
        <v>44833</v>
      </c>
      <c r="Q1063">
        <v>39</v>
      </c>
    </row>
    <row r="1064" spans="1:17" x14ac:dyDescent="0.3">
      <c r="A1064" s="1" t="s">
        <v>1526</v>
      </c>
      <c r="B1064" s="2">
        <v>44833.368055555555</v>
      </c>
      <c r="C1064" s="1" t="s">
        <v>37</v>
      </c>
      <c r="D1064" s="1" t="s">
        <v>29</v>
      </c>
      <c r="E1064" s="1" t="s">
        <v>554</v>
      </c>
      <c r="F1064" s="1" t="s">
        <v>77</v>
      </c>
      <c r="G1064" s="1" t="s">
        <v>77</v>
      </c>
      <c r="H1064" s="1" t="s">
        <v>77</v>
      </c>
      <c r="I1064" s="1" t="s">
        <v>77</v>
      </c>
      <c r="J1064" s="1" t="s">
        <v>77</v>
      </c>
      <c r="K1064" s="1" t="s">
        <v>77</v>
      </c>
      <c r="L1064">
        <v>20220929085025</v>
      </c>
      <c r="M1064" s="1" t="s">
        <v>1529</v>
      </c>
      <c r="N1064" s="1" t="s">
        <v>65</v>
      </c>
      <c r="O1064">
        <v>9</v>
      </c>
      <c r="P1064" s="3">
        <v>44833</v>
      </c>
      <c r="Q1064">
        <v>39</v>
      </c>
    </row>
    <row r="1065" spans="1:17" x14ac:dyDescent="0.3">
      <c r="A1065" s="1" t="s">
        <v>1526</v>
      </c>
      <c r="B1065" s="2">
        <v>44833.368055555555</v>
      </c>
      <c r="C1065" s="1" t="s">
        <v>18</v>
      </c>
      <c r="D1065" s="1" t="s">
        <v>47</v>
      </c>
      <c r="E1065" s="1" t="s">
        <v>77</v>
      </c>
      <c r="F1065" s="1" t="s">
        <v>77</v>
      </c>
      <c r="G1065" s="1" t="s">
        <v>77</v>
      </c>
      <c r="H1065" s="1" t="s">
        <v>77</v>
      </c>
      <c r="I1065" s="1" t="s">
        <v>77</v>
      </c>
      <c r="J1065" s="1" t="s">
        <v>48</v>
      </c>
      <c r="K1065" s="1" t="s">
        <v>1340</v>
      </c>
      <c r="L1065">
        <v>20220929085034</v>
      </c>
      <c r="M1065" s="1" t="s">
        <v>1530</v>
      </c>
      <c r="N1065" s="1" t="s">
        <v>65</v>
      </c>
      <c r="O1065">
        <v>9</v>
      </c>
      <c r="P1065" s="3">
        <v>44833</v>
      </c>
      <c r="Q1065">
        <v>39</v>
      </c>
    </row>
    <row r="1066" spans="1:17" x14ac:dyDescent="0.3">
      <c r="A1066" s="1" t="s">
        <v>1531</v>
      </c>
      <c r="B1066" s="2">
        <v>44834.367361111108</v>
      </c>
      <c r="C1066" s="1" t="s">
        <v>37</v>
      </c>
      <c r="D1066" s="1" t="s">
        <v>26</v>
      </c>
      <c r="E1066" s="1" t="s">
        <v>27</v>
      </c>
      <c r="F1066" s="1" t="s">
        <v>77</v>
      </c>
      <c r="G1066" s="1" t="s">
        <v>77</v>
      </c>
      <c r="H1066" s="1" t="s">
        <v>77</v>
      </c>
      <c r="I1066" s="1" t="s">
        <v>77</v>
      </c>
      <c r="J1066" s="1" t="s">
        <v>77</v>
      </c>
      <c r="K1066" s="1" t="s">
        <v>77</v>
      </c>
      <c r="L1066">
        <v>20220930084947</v>
      </c>
      <c r="M1066" s="1" t="s">
        <v>1532</v>
      </c>
      <c r="N1066" s="1" t="s">
        <v>84</v>
      </c>
      <c r="O1066">
        <v>9</v>
      </c>
      <c r="P1066" s="3">
        <v>44834</v>
      </c>
      <c r="Q1066">
        <v>39</v>
      </c>
    </row>
    <row r="1067" spans="1:17" x14ac:dyDescent="0.3">
      <c r="A1067" s="1" t="s">
        <v>1531</v>
      </c>
      <c r="B1067" s="2">
        <v>44834.367361111108</v>
      </c>
      <c r="C1067" s="1" t="s">
        <v>37</v>
      </c>
      <c r="D1067" s="1" t="s">
        <v>195</v>
      </c>
      <c r="E1067" s="1" t="s">
        <v>21</v>
      </c>
      <c r="F1067" s="1" t="s">
        <v>77</v>
      </c>
      <c r="G1067" s="1" t="s">
        <v>77</v>
      </c>
      <c r="H1067" s="1" t="s">
        <v>77</v>
      </c>
      <c r="I1067" s="1" t="s">
        <v>77</v>
      </c>
      <c r="J1067" s="1" t="s">
        <v>77</v>
      </c>
      <c r="K1067" s="1" t="s">
        <v>77</v>
      </c>
      <c r="L1067">
        <v>20220930084954</v>
      </c>
      <c r="M1067" s="1" t="s">
        <v>1533</v>
      </c>
      <c r="N1067" s="1" t="s">
        <v>84</v>
      </c>
      <c r="O1067">
        <v>9</v>
      </c>
      <c r="P1067" s="3">
        <v>44834</v>
      </c>
      <c r="Q1067">
        <v>39</v>
      </c>
    </row>
    <row r="1068" spans="1:17" x14ac:dyDescent="0.3">
      <c r="A1068" s="1" t="s">
        <v>1534</v>
      </c>
      <c r="B1068" s="2">
        <v>44834.368055555555</v>
      </c>
      <c r="C1068" s="1" t="s">
        <v>37</v>
      </c>
      <c r="D1068" s="1" t="s">
        <v>38</v>
      </c>
      <c r="E1068" s="1" t="s">
        <v>39</v>
      </c>
      <c r="F1068" s="1" t="s">
        <v>77</v>
      </c>
      <c r="G1068" s="1" t="s">
        <v>77</v>
      </c>
      <c r="H1068" s="1" t="s">
        <v>77</v>
      </c>
      <c r="I1068" s="1" t="s">
        <v>77</v>
      </c>
      <c r="J1068" s="1" t="s">
        <v>77</v>
      </c>
      <c r="K1068" s="1" t="s">
        <v>77</v>
      </c>
      <c r="L1068">
        <v>20220930085000</v>
      </c>
      <c r="M1068" s="1" t="s">
        <v>1535</v>
      </c>
      <c r="N1068" s="1" t="s">
        <v>84</v>
      </c>
      <c r="O1068">
        <v>9</v>
      </c>
      <c r="P1068" s="3">
        <v>44834</v>
      </c>
      <c r="Q1068">
        <v>39</v>
      </c>
    </row>
    <row r="1069" spans="1:17" x14ac:dyDescent="0.3">
      <c r="A1069" s="1" t="s">
        <v>1534</v>
      </c>
      <c r="B1069" s="2">
        <v>44834.368055555555</v>
      </c>
      <c r="C1069" s="1" t="s">
        <v>37</v>
      </c>
      <c r="D1069" s="1" t="s">
        <v>41</v>
      </c>
      <c r="E1069" s="1" t="s">
        <v>42</v>
      </c>
      <c r="F1069" s="1" t="s">
        <v>77</v>
      </c>
      <c r="G1069" s="1" t="s">
        <v>77</v>
      </c>
      <c r="H1069" s="1" t="s">
        <v>77</v>
      </c>
      <c r="I1069" s="1" t="s">
        <v>77</v>
      </c>
      <c r="J1069" s="1" t="s">
        <v>77</v>
      </c>
      <c r="K1069" s="1" t="s">
        <v>77</v>
      </c>
      <c r="L1069">
        <v>20220930085007</v>
      </c>
      <c r="M1069" s="1" t="s">
        <v>1536</v>
      </c>
      <c r="N1069" s="1" t="s">
        <v>84</v>
      </c>
      <c r="O1069">
        <v>9</v>
      </c>
      <c r="P1069" s="3">
        <v>44834</v>
      </c>
      <c r="Q1069">
        <v>39</v>
      </c>
    </row>
    <row r="1070" spans="1:17" x14ac:dyDescent="0.3">
      <c r="A1070" s="1" t="s">
        <v>1534</v>
      </c>
      <c r="B1070" s="2">
        <v>44834.368055555555</v>
      </c>
      <c r="C1070" s="1" t="s">
        <v>37</v>
      </c>
      <c r="D1070" s="1" t="s">
        <v>44</v>
      </c>
      <c r="E1070" s="1" t="s">
        <v>45</v>
      </c>
      <c r="F1070" s="1" t="s">
        <v>77</v>
      </c>
      <c r="G1070" s="1" t="s">
        <v>77</v>
      </c>
      <c r="H1070" s="1" t="s">
        <v>77</v>
      </c>
      <c r="I1070" s="1" t="s">
        <v>77</v>
      </c>
      <c r="J1070" s="1" t="s">
        <v>77</v>
      </c>
      <c r="K1070" s="1" t="s">
        <v>77</v>
      </c>
      <c r="L1070">
        <v>20220930085015</v>
      </c>
      <c r="M1070" s="1" t="s">
        <v>1537</v>
      </c>
      <c r="N1070" s="1" t="s">
        <v>84</v>
      </c>
      <c r="O1070">
        <v>9</v>
      </c>
      <c r="P1070" s="3">
        <v>44834</v>
      </c>
      <c r="Q1070">
        <v>39</v>
      </c>
    </row>
    <row r="1071" spans="1:17" x14ac:dyDescent="0.3">
      <c r="A1071" s="1" t="s">
        <v>1534</v>
      </c>
      <c r="B1071" s="2">
        <v>44834.368055555555</v>
      </c>
      <c r="C1071" s="1" t="s">
        <v>37</v>
      </c>
      <c r="D1071" s="1" t="s">
        <v>47</v>
      </c>
      <c r="E1071" s="1" t="s">
        <v>51</v>
      </c>
      <c r="F1071" s="1" t="s">
        <v>77</v>
      </c>
      <c r="G1071" s="1" t="s">
        <v>77</v>
      </c>
      <c r="H1071" s="1" t="s">
        <v>77</v>
      </c>
      <c r="I1071" s="1" t="s">
        <v>77</v>
      </c>
      <c r="J1071" s="1" t="s">
        <v>77</v>
      </c>
      <c r="K1071" s="1" t="s">
        <v>77</v>
      </c>
      <c r="L1071">
        <v>20220930085022</v>
      </c>
      <c r="M1071" s="1" t="s">
        <v>1538</v>
      </c>
      <c r="N1071" s="1" t="s">
        <v>84</v>
      </c>
      <c r="O1071">
        <v>9</v>
      </c>
      <c r="P1071" s="3">
        <v>44834</v>
      </c>
      <c r="Q1071">
        <v>39</v>
      </c>
    </row>
    <row r="1072" spans="1:17" x14ac:dyDescent="0.3">
      <c r="A1072" s="1" t="s">
        <v>1534</v>
      </c>
      <c r="B1072" s="2">
        <v>44834.368055555555</v>
      </c>
      <c r="C1072" s="1" t="s">
        <v>37</v>
      </c>
      <c r="D1072" s="1" t="s">
        <v>53</v>
      </c>
      <c r="E1072" s="1" t="s">
        <v>54</v>
      </c>
      <c r="F1072" s="1" t="s">
        <v>77</v>
      </c>
      <c r="G1072" s="1" t="s">
        <v>77</v>
      </c>
      <c r="H1072" s="1" t="s">
        <v>77</v>
      </c>
      <c r="I1072" s="1" t="s">
        <v>77</v>
      </c>
      <c r="J1072" s="1" t="s">
        <v>77</v>
      </c>
      <c r="K1072" s="1" t="s">
        <v>77</v>
      </c>
      <c r="L1072">
        <v>20220930085032</v>
      </c>
      <c r="M1072" s="1" t="s">
        <v>1539</v>
      </c>
      <c r="N1072" s="1" t="s">
        <v>84</v>
      </c>
      <c r="O1072">
        <v>9</v>
      </c>
      <c r="P1072" s="3">
        <v>44834</v>
      </c>
      <c r="Q1072">
        <v>39</v>
      </c>
    </row>
    <row r="1073" spans="1:17" x14ac:dyDescent="0.3">
      <c r="A1073" s="1" t="s">
        <v>1534</v>
      </c>
      <c r="B1073" s="2">
        <v>44834.368055555555</v>
      </c>
      <c r="C1073" s="1" t="s">
        <v>37</v>
      </c>
      <c r="D1073" s="1" t="s">
        <v>53</v>
      </c>
      <c r="E1073" s="1" t="s">
        <v>56</v>
      </c>
      <c r="F1073" s="1" t="s">
        <v>77</v>
      </c>
      <c r="G1073" s="1" t="s">
        <v>77</v>
      </c>
      <c r="H1073" s="1" t="s">
        <v>77</v>
      </c>
      <c r="I1073" s="1" t="s">
        <v>77</v>
      </c>
      <c r="J1073" s="1" t="s">
        <v>77</v>
      </c>
      <c r="K1073" s="1" t="s">
        <v>77</v>
      </c>
      <c r="L1073">
        <v>20220930085039</v>
      </c>
      <c r="M1073" s="1" t="s">
        <v>1540</v>
      </c>
      <c r="N1073" s="1" t="s">
        <v>84</v>
      </c>
      <c r="O1073">
        <v>9</v>
      </c>
      <c r="P1073" s="3">
        <v>44834</v>
      </c>
      <c r="Q1073">
        <v>39</v>
      </c>
    </row>
    <row r="1074" spans="1:17" x14ac:dyDescent="0.3">
      <c r="A1074" s="1" t="s">
        <v>1534</v>
      </c>
      <c r="B1074" s="2">
        <v>44834.368055555555</v>
      </c>
      <c r="C1074" s="1" t="s">
        <v>37</v>
      </c>
      <c r="D1074" s="1" t="s">
        <v>19</v>
      </c>
      <c r="E1074" s="1" t="s">
        <v>58</v>
      </c>
      <c r="F1074" s="1" t="s">
        <v>77</v>
      </c>
      <c r="G1074" s="1" t="s">
        <v>77</v>
      </c>
      <c r="H1074" s="1" t="s">
        <v>77</v>
      </c>
      <c r="I1074" s="1" t="s">
        <v>77</v>
      </c>
      <c r="J1074" s="1" t="s">
        <v>77</v>
      </c>
      <c r="K1074" s="1" t="s">
        <v>77</v>
      </c>
      <c r="L1074">
        <v>20220930085047</v>
      </c>
      <c r="M1074" s="1" t="s">
        <v>1541</v>
      </c>
      <c r="N1074" s="1" t="s">
        <v>84</v>
      </c>
      <c r="O1074">
        <v>9</v>
      </c>
      <c r="P1074" s="3">
        <v>44834</v>
      </c>
      <c r="Q1074">
        <v>39</v>
      </c>
    </row>
    <row r="1075" spans="1:17" x14ac:dyDescent="0.3">
      <c r="A1075" s="1" t="s">
        <v>1534</v>
      </c>
      <c r="B1075" s="2">
        <v>44834.368055555555</v>
      </c>
      <c r="C1075" s="1" t="s">
        <v>37</v>
      </c>
      <c r="D1075" s="1" t="s">
        <v>60</v>
      </c>
      <c r="E1075" s="1" t="s">
        <v>61</v>
      </c>
      <c r="F1075" s="1" t="s">
        <v>77</v>
      </c>
      <c r="G1075" s="1" t="s">
        <v>77</v>
      </c>
      <c r="H1075" s="1" t="s">
        <v>77</v>
      </c>
      <c r="I1075" s="1" t="s">
        <v>77</v>
      </c>
      <c r="J1075" s="1" t="s">
        <v>77</v>
      </c>
      <c r="K1075" s="1" t="s">
        <v>77</v>
      </c>
      <c r="L1075">
        <v>20220930085054</v>
      </c>
      <c r="M1075" s="1" t="s">
        <v>1542</v>
      </c>
      <c r="N1075" s="1" t="s">
        <v>84</v>
      </c>
      <c r="O1075">
        <v>9</v>
      </c>
      <c r="P1075" s="3">
        <v>44834</v>
      </c>
      <c r="Q1075">
        <v>39</v>
      </c>
    </row>
    <row r="1076" spans="1:17" x14ac:dyDescent="0.3">
      <c r="A1076" s="1" t="s">
        <v>1543</v>
      </c>
      <c r="B1076" s="2">
        <v>44834.368750000001</v>
      </c>
      <c r="C1076" s="1" t="s">
        <v>18</v>
      </c>
      <c r="D1076" s="1" t="s">
        <v>47</v>
      </c>
      <c r="E1076" s="1" t="s">
        <v>77</v>
      </c>
      <c r="F1076" s="1" t="s">
        <v>77</v>
      </c>
      <c r="G1076" s="1" t="s">
        <v>77</v>
      </c>
      <c r="H1076" s="1" t="s">
        <v>77</v>
      </c>
      <c r="I1076" s="1" t="s">
        <v>77</v>
      </c>
      <c r="J1076" s="1" t="s">
        <v>48</v>
      </c>
      <c r="K1076" s="1" t="s">
        <v>1340</v>
      </c>
      <c r="L1076">
        <v>20220930085104</v>
      </c>
      <c r="M1076" s="1" t="s">
        <v>1544</v>
      </c>
      <c r="N1076" s="1" t="s">
        <v>84</v>
      </c>
      <c r="O1076">
        <v>9</v>
      </c>
      <c r="P1076" s="3">
        <v>44834</v>
      </c>
      <c r="Q1076">
        <v>39</v>
      </c>
    </row>
    <row r="1077" spans="1:17" x14ac:dyDescent="0.3">
      <c r="A1077" s="1" t="s">
        <v>1543</v>
      </c>
      <c r="B1077" s="2">
        <v>44834.368750000001</v>
      </c>
      <c r="C1077" s="1" t="s">
        <v>37</v>
      </c>
      <c r="D1077" s="1" t="s">
        <v>47</v>
      </c>
      <c r="E1077" s="1" t="s">
        <v>536</v>
      </c>
      <c r="F1077" s="1" t="s">
        <v>77</v>
      </c>
      <c r="G1077" s="1" t="s">
        <v>77</v>
      </c>
      <c r="H1077" s="1" t="s">
        <v>77</v>
      </c>
      <c r="I1077" s="1" t="s">
        <v>77</v>
      </c>
      <c r="J1077" s="1" t="s">
        <v>77</v>
      </c>
      <c r="K1077" s="1" t="s">
        <v>77</v>
      </c>
      <c r="L1077">
        <v>20220930085116</v>
      </c>
      <c r="M1077" s="1" t="s">
        <v>1545</v>
      </c>
      <c r="N1077" s="1" t="s">
        <v>84</v>
      </c>
      <c r="O1077">
        <v>9</v>
      </c>
      <c r="P1077" s="3">
        <v>44834</v>
      </c>
      <c r="Q1077">
        <v>39</v>
      </c>
    </row>
    <row r="1078" spans="1:17" x14ac:dyDescent="0.3">
      <c r="A1078" s="1" t="s">
        <v>1543</v>
      </c>
      <c r="B1078" s="2">
        <v>44834.368750000001</v>
      </c>
      <c r="C1078" s="1" t="s">
        <v>37</v>
      </c>
      <c r="D1078" s="1" t="s">
        <v>29</v>
      </c>
      <c r="E1078" s="1" t="s">
        <v>554</v>
      </c>
      <c r="F1078" s="1" t="s">
        <v>77</v>
      </c>
      <c r="G1078" s="1" t="s">
        <v>77</v>
      </c>
      <c r="H1078" s="1" t="s">
        <v>77</v>
      </c>
      <c r="I1078" s="1" t="s">
        <v>77</v>
      </c>
      <c r="J1078" s="1" t="s">
        <v>77</v>
      </c>
      <c r="K1078" s="1" t="s">
        <v>77</v>
      </c>
      <c r="L1078">
        <v>20220930085123</v>
      </c>
      <c r="M1078" s="1" t="s">
        <v>1546</v>
      </c>
      <c r="N1078" s="1" t="s">
        <v>84</v>
      </c>
      <c r="O1078">
        <v>9</v>
      </c>
      <c r="P1078" s="3">
        <v>44834</v>
      </c>
      <c r="Q1078">
        <v>39</v>
      </c>
    </row>
    <row r="1079" spans="1:17" x14ac:dyDescent="0.3">
      <c r="A1079" s="1" t="s">
        <v>1543</v>
      </c>
      <c r="B1079" s="2">
        <v>44834.368750000001</v>
      </c>
      <c r="C1079" s="1" t="s">
        <v>18</v>
      </c>
      <c r="D1079" s="1" t="s">
        <v>29</v>
      </c>
      <c r="E1079" s="1" t="s">
        <v>77</v>
      </c>
      <c r="F1079" s="1" t="s">
        <v>77</v>
      </c>
      <c r="G1079" s="1" t="s">
        <v>77</v>
      </c>
      <c r="H1079" s="1" t="s">
        <v>77</v>
      </c>
      <c r="I1079" s="1" t="s">
        <v>77</v>
      </c>
      <c r="J1079" s="1" t="s">
        <v>30</v>
      </c>
      <c r="K1079" s="1" t="s">
        <v>309</v>
      </c>
      <c r="L1079">
        <v>20220930085131</v>
      </c>
      <c r="M1079" s="1" t="s">
        <v>1547</v>
      </c>
      <c r="N1079" s="1" t="s">
        <v>84</v>
      </c>
      <c r="O1079">
        <v>9</v>
      </c>
      <c r="P1079" s="3">
        <v>44834</v>
      </c>
      <c r="Q1079">
        <v>39</v>
      </c>
    </row>
    <row r="1080" spans="1:17" x14ac:dyDescent="0.3">
      <c r="A1080" s="1" t="s">
        <v>1548</v>
      </c>
      <c r="B1080" s="2">
        <v>44835.45416666667</v>
      </c>
      <c r="C1080" s="1" t="s">
        <v>37</v>
      </c>
      <c r="D1080" s="1" t="s">
        <v>26</v>
      </c>
      <c r="E1080" s="1" t="s">
        <v>27</v>
      </c>
      <c r="F1080" s="1" t="s">
        <v>77</v>
      </c>
      <c r="G1080" s="1" t="s">
        <v>77</v>
      </c>
      <c r="H1080" s="1" t="s">
        <v>77</v>
      </c>
      <c r="I1080" s="1" t="s">
        <v>77</v>
      </c>
      <c r="J1080" s="1" t="s">
        <v>77</v>
      </c>
      <c r="K1080" s="1" t="s">
        <v>77</v>
      </c>
      <c r="L1080">
        <v>20221001105407</v>
      </c>
      <c r="M1080" s="1" t="s">
        <v>1549</v>
      </c>
      <c r="N1080" s="1" t="s">
        <v>101</v>
      </c>
      <c r="O1080">
        <v>10</v>
      </c>
      <c r="P1080" s="3">
        <v>44835</v>
      </c>
      <c r="Q1080">
        <v>39</v>
      </c>
    </row>
    <row r="1081" spans="1:17" x14ac:dyDescent="0.3">
      <c r="A1081" s="1" t="s">
        <v>1548</v>
      </c>
      <c r="B1081" s="2">
        <v>44835.45416666667</v>
      </c>
      <c r="C1081" s="1" t="s">
        <v>37</v>
      </c>
      <c r="D1081" s="1" t="s">
        <v>195</v>
      </c>
      <c r="E1081" s="1" t="s">
        <v>21</v>
      </c>
      <c r="F1081" s="1" t="s">
        <v>77</v>
      </c>
      <c r="G1081" s="1" t="s">
        <v>77</v>
      </c>
      <c r="H1081" s="1" t="s">
        <v>77</v>
      </c>
      <c r="I1081" s="1" t="s">
        <v>77</v>
      </c>
      <c r="J1081" s="1" t="s">
        <v>77</v>
      </c>
      <c r="K1081" s="1" t="s">
        <v>77</v>
      </c>
      <c r="L1081">
        <v>20221001105414</v>
      </c>
      <c r="M1081" s="1" t="s">
        <v>1550</v>
      </c>
      <c r="N1081" s="1" t="s">
        <v>101</v>
      </c>
      <c r="O1081">
        <v>10</v>
      </c>
      <c r="P1081" s="3">
        <v>44835</v>
      </c>
      <c r="Q1081">
        <v>39</v>
      </c>
    </row>
    <row r="1082" spans="1:17" x14ac:dyDescent="0.3">
      <c r="A1082" s="1" t="s">
        <v>1548</v>
      </c>
      <c r="B1082" s="2">
        <v>44835.45416666667</v>
      </c>
      <c r="C1082" s="1" t="s">
        <v>37</v>
      </c>
      <c r="D1082" s="1" t="s">
        <v>38</v>
      </c>
      <c r="E1082" s="1" t="s">
        <v>39</v>
      </c>
      <c r="F1082" s="1" t="s">
        <v>77</v>
      </c>
      <c r="G1082" s="1" t="s">
        <v>77</v>
      </c>
      <c r="H1082" s="1" t="s">
        <v>77</v>
      </c>
      <c r="I1082" s="1" t="s">
        <v>77</v>
      </c>
      <c r="J1082" s="1" t="s">
        <v>77</v>
      </c>
      <c r="K1082" s="1" t="s">
        <v>77</v>
      </c>
      <c r="L1082">
        <v>20221001105421</v>
      </c>
      <c r="M1082" s="1" t="s">
        <v>1551</v>
      </c>
      <c r="N1082" s="1" t="s">
        <v>101</v>
      </c>
      <c r="O1082">
        <v>10</v>
      </c>
      <c r="P1082" s="3">
        <v>44835</v>
      </c>
      <c r="Q1082">
        <v>39</v>
      </c>
    </row>
    <row r="1083" spans="1:17" x14ac:dyDescent="0.3">
      <c r="A1083" s="1" t="s">
        <v>1548</v>
      </c>
      <c r="B1083" s="2">
        <v>44835.45416666667</v>
      </c>
      <c r="C1083" s="1" t="s">
        <v>37</v>
      </c>
      <c r="D1083" s="1" t="s">
        <v>41</v>
      </c>
      <c r="E1083" s="1" t="s">
        <v>42</v>
      </c>
      <c r="F1083" s="1" t="s">
        <v>77</v>
      </c>
      <c r="G1083" s="1" t="s">
        <v>77</v>
      </c>
      <c r="H1083" s="1" t="s">
        <v>77</v>
      </c>
      <c r="I1083" s="1" t="s">
        <v>77</v>
      </c>
      <c r="J1083" s="1" t="s">
        <v>77</v>
      </c>
      <c r="K1083" s="1" t="s">
        <v>77</v>
      </c>
      <c r="L1083">
        <v>20221001105427</v>
      </c>
      <c r="M1083" s="1" t="s">
        <v>1552</v>
      </c>
      <c r="N1083" s="1" t="s">
        <v>101</v>
      </c>
      <c r="O1083">
        <v>10</v>
      </c>
      <c r="P1083" s="3">
        <v>44835</v>
      </c>
      <c r="Q1083">
        <v>39</v>
      </c>
    </row>
    <row r="1084" spans="1:17" x14ac:dyDescent="0.3">
      <c r="A1084" s="1" t="s">
        <v>1548</v>
      </c>
      <c r="B1084" s="2">
        <v>44835.45416666667</v>
      </c>
      <c r="C1084" s="1" t="s">
        <v>37</v>
      </c>
      <c r="D1084" s="1" t="s">
        <v>44</v>
      </c>
      <c r="E1084" s="1" t="s">
        <v>45</v>
      </c>
      <c r="F1084" s="1" t="s">
        <v>77</v>
      </c>
      <c r="G1084" s="1" t="s">
        <v>77</v>
      </c>
      <c r="H1084" s="1" t="s">
        <v>77</v>
      </c>
      <c r="I1084" s="1" t="s">
        <v>77</v>
      </c>
      <c r="J1084" s="1" t="s">
        <v>77</v>
      </c>
      <c r="K1084" s="1" t="s">
        <v>77</v>
      </c>
      <c r="L1084">
        <v>20221001105432</v>
      </c>
      <c r="M1084" s="1" t="s">
        <v>1553</v>
      </c>
      <c r="N1084" s="1" t="s">
        <v>101</v>
      </c>
      <c r="O1084">
        <v>10</v>
      </c>
      <c r="P1084" s="3">
        <v>44835</v>
      </c>
      <c r="Q1084">
        <v>39</v>
      </c>
    </row>
    <row r="1085" spans="1:17" x14ac:dyDescent="0.3">
      <c r="A1085" s="1" t="s">
        <v>1548</v>
      </c>
      <c r="B1085" s="2">
        <v>44835.45416666667</v>
      </c>
      <c r="C1085" s="1" t="s">
        <v>37</v>
      </c>
      <c r="D1085" s="1" t="s">
        <v>47</v>
      </c>
      <c r="E1085" s="1" t="s">
        <v>51</v>
      </c>
      <c r="F1085" s="1" t="s">
        <v>77</v>
      </c>
      <c r="G1085" s="1" t="s">
        <v>77</v>
      </c>
      <c r="H1085" s="1" t="s">
        <v>77</v>
      </c>
      <c r="I1085" s="1" t="s">
        <v>77</v>
      </c>
      <c r="J1085" s="1" t="s">
        <v>77</v>
      </c>
      <c r="K1085" s="1" t="s">
        <v>77</v>
      </c>
      <c r="L1085">
        <v>20221001105441</v>
      </c>
      <c r="M1085" s="1" t="s">
        <v>1554</v>
      </c>
      <c r="N1085" s="1" t="s">
        <v>101</v>
      </c>
      <c r="O1085">
        <v>10</v>
      </c>
      <c r="P1085" s="3">
        <v>44835</v>
      </c>
      <c r="Q1085">
        <v>39</v>
      </c>
    </row>
    <row r="1086" spans="1:17" x14ac:dyDescent="0.3">
      <c r="A1086" s="1" t="s">
        <v>1548</v>
      </c>
      <c r="B1086" s="2">
        <v>44835.45416666667</v>
      </c>
      <c r="C1086" s="1" t="s">
        <v>37</v>
      </c>
      <c r="D1086" s="1" t="s">
        <v>47</v>
      </c>
      <c r="E1086" s="1" t="s">
        <v>536</v>
      </c>
      <c r="F1086" s="1" t="s">
        <v>77</v>
      </c>
      <c r="G1086" s="1" t="s">
        <v>77</v>
      </c>
      <c r="H1086" s="1" t="s">
        <v>77</v>
      </c>
      <c r="I1086" s="1" t="s">
        <v>77</v>
      </c>
      <c r="J1086" s="1" t="s">
        <v>77</v>
      </c>
      <c r="K1086" s="1" t="s">
        <v>77</v>
      </c>
      <c r="L1086">
        <v>20221001105448</v>
      </c>
      <c r="M1086" s="1" t="s">
        <v>1555</v>
      </c>
      <c r="N1086" s="1" t="s">
        <v>101</v>
      </c>
      <c r="O1086">
        <v>10</v>
      </c>
      <c r="P1086" s="3">
        <v>44835</v>
      </c>
      <c r="Q1086">
        <v>39</v>
      </c>
    </row>
    <row r="1087" spans="1:17" x14ac:dyDescent="0.3">
      <c r="A1087" s="1" t="s">
        <v>1548</v>
      </c>
      <c r="B1087" s="2">
        <v>44835.454861111109</v>
      </c>
      <c r="C1087" s="1" t="s">
        <v>37</v>
      </c>
      <c r="D1087" s="1" t="s">
        <v>53</v>
      </c>
      <c r="E1087" s="1" t="s">
        <v>54</v>
      </c>
      <c r="F1087" s="1" t="s">
        <v>77</v>
      </c>
      <c r="G1087" s="1" t="s">
        <v>77</v>
      </c>
      <c r="H1087" s="1" t="s">
        <v>77</v>
      </c>
      <c r="I1087" s="1" t="s">
        <v>77</v>
      </c>
      <c r="J1087" s="1" t="s">
        <v>77</v>
      </c>
      <c r="K1087" s="1" t="s">
        <v>77</v>
      </c>
      <c r="L1087">
        <v>20221001105455</v>
      </c>
      <c r="M1087" s="1" t="s">
        <v>1556</v>
      </c>
      <c r="N1087" s="1" t="s">
        <v>101</v>
      </c>
      <c r="O1087">
        <v>10</v>
      </c>
      <c r="P1087" s="3">
        <v>44835</v>
      </c>
      <c r="Q1087">
        <v>39</v>
      </c>
    </row>
    <row r="1088" spans="1:17" x14ac:dyDescent="0.3">
      <c r="A1088" s="1" t="s">
        <v>1557</v>
      </c>
      <c r="B1088" s="2">
        <v>44835.454861111109</v>
      </c>
      <c r="C1088" s="1" t="s">
        <v>37</v>
      </c>
      <c r="D1088" s="1" t="s">
        <v>53</v>
      </c>
      <c r="E1088" s="1" t="s">
        <v>56</v>
      </c>
      <c r="F1088" s="1" t="s">
        <v>77</v>
      </c>
      <c r="G1088" s="1" t="s">
        <v>77</v>
      </c>
      <c r="H1088" s="1" t="s">
        <v>77</v>
      </c>
      <c r="I1088" s="1" t="s">
        <v>77</v>
      </c>
      <c r="J1088" s="1" t="s">
        <v>77</v>
      </c>
      <c r="K1088" s="1" t="s">
        <v>77</v>
      </c>
      <c r="L1088">
        <v>20221001105507</v>
      </c>
      <c r="M1088" s="1" t="s">
        <v>1558</v>
      </c>
      <c r="N1088" s="1" t="s">
        <v>101</v>
      </c>
      <c r="O1088">
        <v>10</v>
      </c>
      <c r="P1088" s="3">
        <v>44835</v>
      </c>
      <c r="Q1088">
        <v>39</v>
      </c>
    </row>
    <row r="1089" spans="1:17" x14ac:dyDescent="0.3">
      <c r="A1089" s="1" t="s">
        <v>1557</v>
      </c>
      <c r="B1089" s="2">
        <v>44835.454861111109</v>
      </c>
      <c r="C1089" s="1" t="s">
        <v>37</v>
      </c>
      <c r="D1089" s="1" t="s">
        <v>60</v>
      </c>
      <c r="E1089" s="1" t="s">
        <v>61</v>
      </c>
      <c r="F1089" s="1" t="s">
        <v>77</v>
      </c>
      <c r="G1089" s="1" t="s">
        <v>77</v>
      </c>
      <c r="H1089" s="1" t="s">
        <v>77</v>
      </c>
      <c r="I1089" s="1" t="s">
        <v>77</v>
      </c>
      <c r="J1089" s="1" t="s">
        <v>77</v>
      </c>
      <c r="K1089" s="1" t="s">
        <v>77</v>
      </c>
      <c r="L1089">
        <v>20221001105516</v>
      </c>
      <c r="M1089" s="1" t="s">
        <v>1559</v>
      </c>
      <c r="N1089" s="1" t="s">
        <v>101</v>
      </c>
      <c r="O1089">
        <v>10</v>
      </c>
      <c r="P1089" s="3">
        <v>44835</v>
      </c>
      <c r="Q1089">
        <v>39</v>
      </c>
    </row>
    <row r="1090" spans="1:17" x14ac:dyDescent="0.3">
      <c r="A1090" s="1" t="s">
        <v>1557</v>
      </c>
      <c r="B1090" s="2">
        <v>44835.454861111109</v>
      </c>
      <c r="C1090" s="1" t="s">
        <v>18</v>
      </c>
      <c r="D1090" s="1" t="s">
        <v>47</v>
      </c>
      <c r="E1090" s="1" t="s">
        <v>77</v>
      </c>
      <c r="F1090" s="1" t="s">
        <v>77</v>
      </c>
      <c r="G1090" s="1" t="s">
        <v>77</v>
      </c>
      <c r="H1090" s="1" t="s">
        <v>77</v>
      </c>
      <c r="I1090" s="1" t="s">
        <v>77</v>
      </c>
      <c r="J1090" s="1" t="s">
        <v>48</v>
      </c>
      <c r="K1090" s="1" t="s">
        <v>1340</v>
      </c>
      <c r="L1090">
        <v>20221001105526</v>
      </c>
      <c r="M1090" s="1" t="s">
        <v>1560</v>
      </c>
      <c r="N1090" s="1" t="s">
        <v>101</v>
      </c>
      <c r="O1090">
        <v>10</v>
      </c>
      <c r="P1090" s="3">
        <v>44835</v>
      </c>
      <c r="Q1090">
        <v>39</v>
      </c>
    </row>
    <row r="1091" spans="1:17" x14ac:dyDescent="0.3">
      <c r="A1091" s="1" t="s">
        <v>1557</v>
      </c>
      <c r="B1091" s="2">
        <v>44835.454861111109</v>
      </c>
      <c r="C1091" s="1" t="s">
        <v>18</v>
      </c>
      <c r="D1091" s="1" t="s">
        <v>29</v>
      </c>
      <c r="E1091" s="1" t="s">
        <v>77</v>
      </c>
      <c r="F1091" s="1" t="s">
        <v>77</v>
      </c>
      <c r="G1091" s="1" t="s">
        <v>77</v>
      </c>
      <c r="H1091" s="1" t="s">
        <v>77</v>
      </c>
      <c r="I1091" s="1" t="s">
        <v>77</v>
      </c>
      <c r="J1091" s="1" t="s">
        <v>30</v>
      </c>
      <c r="K1091" s="1" t="s">
        <v>523</v>
      </c>
      <c r="L1091">
        <v>20221001105541</v>
      </c>
      <c r="M1091" s="1" t="s">
        <v>1561</v>
      </c>
      <c r="N1091" s="1" t="s">
        <v>101</v>
      </c>
      <c r="O1091">
        <v>10</v>
      </c>
      <c r="P1091" s="3">
        <v>44835</v>
      </c>
      <c r="Q1091">
        <v>39</v>
      </c>
    </row>
    <row r="1092" spans="1:17" x14ac:dyDescent="0.3">
      <c r="A1092" s="1" t="s">
        <v>1557</v>
      </c>
      <c r="B1092" s="2">
        <v>44835.455555555556</v>
      </c>
      <c r="C1092" s="1" t="s">
        <v>18</v>
      </c>
      <c r="D1092" s="1" t="s">
        <v>29</v>
      </c>
      <c r="E1092" s="1" t="s">
        <v>77</v>
      </c>
      <c r="F1092" s="1" t="s">
        <v>77</v>
      </c>
      <c r="G1092" s="1" t="s">
        <v>77</v>
      </c>
      <c r="H1092" s="1" t="s">
        <v>77</v>
      </c>
      <c r="I1092" s="1" t="s">
        <v>77</v>
      </c>
      <c r="J1092" s="1" t="s">
        <v>554</v>
      </c>
      <c r="K1092" s="1" t="s">
        <v>523</v>
      </c>
      <c r="L1092">
        <v>20221001105551</v>
      </c>
      <c r="M1092" s="1" t="s">
        <v>1562</v>
      </c>
      <c r="N1092" s="1" t="s">
        <v>101</v>
      </c>
      <c r="O1092">
        <v>10</v>
      </c>
      <c r="P1092" s="3">
        <v>44835</v>
      </c>
      <c r="Q1092">
        <v>39</v>
      </c>
    </row>
    <row r="1093" spans="1:17" x14ac:dyDescent="0.3">
      <c r="A1093" s="1" t="s">
        <v>1563</v>
      </c>
      <c r="B1093" s="2">
        <v>44835.455555555556</v>
      </c>
      <c r="C1093" s="1" t="s">
        <v>18</v>
      </c>
      <c r="D1093" s="1" t="s">
        <v>19</v>
      </c>
      <c r="E1093" s="1" t="s">
        <v>77</v>
      </c>
      <c r="F1093" s="1" t="s">
        <v>77</v>
      </c>
      <c r="G1093" s="1" t="s">
        <v>77</v>
      </c>
      <c r="H1093" s="1" t="s">
        <v>77</v>
      </c>
      <c r="I1093" s="1" t="s">
        <v>77</v>
      </c>
      <c r="J1093" s="1" t="s">
        <v>58</v>
      </c>
      <c r="K1093" s="1" t="s">
        <v>309</v>
      </c>
      <c r="L1093">
        <v>20221001105611</v>
      </c>
      <c r="M1093" s="1" t="s">
        <v>1564</v>
      </c>
      <c r="N1093" s="1" t="s">
        <v>101</v>
      </c>
      <c r="O1093">
        <v>10</v>
      </c>
      <c r="P1093" s="3">
        <v>44835</v>
      </c>
      <c r="Q1093">
        <v>39</v>
      </c>
    </row>
    <row r="1094" spans="1:17" x14ac:dyDescent="0.3">
      <c r="A1094" s="1" t="s">
        <v>1565</v>
      </c>
      <c r="B1094" s="2">
        <v>44837.45416666667</v>
      </c>
      <c r="C1094" s="1" t="s">
        <v>37</v>
      </c>
      <c r="D1094" s="1" t="s">
        <v>26</v>
      </c>
      <c r="E1094" s="1" t="s">
        <v>27</v>
      </c>
      <c r="F1094" s="1" t="s">
        <v>20</v>
      </c>
      <c r="G1094" s="1" t="s">
        <v>20</v>
      </c>
      <c r="H1094" s="1" t="s">
        <v>20</v>
      </c>
      <c r="I1094" s="1" t="s">
        <v>20</v>
      </c>
      <c r="J1094" s="1" t="s">
        <v>20</v>
      </c>
      <c r="K1094" s="1" t="s">
        <v>1597</v>
      </c>
      <c r="L1094">
        <v>20221003105407</v>
      </c>
      <c r="M1094" s="1" t="s">
        <v>1566</v>
      </c>
      <c r="N1094" s="1" t="s">
        <v>120</v>
      </c>
      <c r="O1094">
        <v>10</v>
      </c>
      <c r="P1094" s="3">
        <v>44837</v>
      </c>
      <c r="Q1094">
        <v>40</v>
      </c>
    </row>
    <row r="1095" spans="1:17" x14ac:dyDescent="0.3">
      <c r="A1095" s="1" t="s">
        <v>1565</v>
      </c>
      <c r="B1095" s="2">
        <v>44837.45416666667</v>
      </c>
      <c r="C1095" s="1" t="s">
        <v>37</v>
      </c>
      <c r="D1095" s="1" t="s">
        <v>195</v>
      </c>
      <c r="E1095" s="1" t="s">
        <v>21</v>
      </c>
      <c r="F1095" s="1" t="s">
        <v>20</v>
      </c>
      <c r="G1095" s="1" t="s">
        <v>20</v>
      </c>
      <c r="H1095" s="1" t="s">
        <v>20</v>
      </c>
      <c r="I1095" s="1" t="s">
        <v>20</v>
      </c>
      <c r="J1095" s="1" t="s">
        <v>20</v>
      </c>
      <c r="K1095" s="1" t="s">
        <v>1597</v>
      </c>
      <c r="L1095">
        <v>20221003105414</v>
      </c>
      <c r="M1095" s="1" t="s">
        <v>1567</v>
      </c>
      <c r="N1095" s="1" t="s">
        <v>120</v>
      </c>
      <c r="O1095">
        <v>10</v>
      </c>
      <c r="P1095" s="3">
        <v>44837</v>
      </c>
      <c r="Q1095">
        <v>40</v>
      </c>
    </row>
    <row r="1096" spans="1:17" x14ac:dyDescent="0.3">
      <c r="A1096" s="1" t="s">
        <v>1565</v>
      </c>
      <c r="B1096" s="2">
        <v>44837.45416666667</v>
      </c>
      <c r="C1096" s="1" t="s">
        <v>37</v>
      </c>
      <c r="D1096" s="1" t="s">
        <v>38</v>
      </c>
      <c r="E1096" s="1" t="s">
        <v>39</v>
      </c>
      <c r="F1096" s="1" t="s">
        <v>20</v>
      </c>
      <c r="G1096" s="1" t="s">
        <v>20</v>
      </c>
      <c r="H1096" s="1" t="s">
        <v>20</v>
      </c>
      <c r="I1096" s="1" t="s">
        <v>20</v>
      </c>
      <c r="J1096" s="1" t="s">
        <v>20</v>
      </c>
      <c r="K1096" s="1" t="s">
        <v>1597</v>
      </c>
      <c r="L1096">
        <v>20221003105421</v>
      </c>
      <c r="M1096" s="1" t="s">
        <v>1568</v>
      </c>
      <c r="N1096" s="1" t="s">
        <v>120</v>
      </c>
      <c r="O1096">
        <v>10</v>
      </c>
      <c r="P1096" s="3">
        <v>44837</v>
      </c>
      <c r="Q1096">
        <v>40</v>
      </c>
    </row>
    <row r="1097" spans="1:17" x14ac:dyDescent="0.3">
      <c r="A1097" s="1" t="s">
        <v>1565</v>
      </c>
      <c r="B1097" s="2">
        <v>44837.45416666667</v>
      </c>
      <c r="C1097" s="1" t="s">
        <v>37</v>
      </c>
      <c r="D1097" s="1" t="s">
        <v>41</v>
      </c>
      <c r="E1097" s="1" t="s">
        <v>42</v>
      </c>
      <c r="F1097" s="1" t="s">
        <v>20</v>
      </c>
      <c r="G1097" s="1" t="s">
        <v>20</v>
      </c>
      <c r="H1097" s="1" t="s">
        <v>20</v>
      </c>
      <c r="I1097" s="1" t="s">
        <v>20</v>
      </c>
      <c r="J1097" s="1" t="s">
        <v>20</v>
      </c>
      <c r="K1097" s="1" t="s">
        <v>1597</v>
      </c>
      <c r="L1097">
        <v>20221003105427</v>
      </c>
      <c r="M1097" s="1" t="s">
        <v>1569</v>
      </c>
      <c r="N1097" s="1" t="s">
        <v>120</v>
      </c>
      <c r="O1097">
        <v>10</v>
      </c>
      <c r="P1097" s="3">
        <v>44837</v>
      </c>
      <c r="Q1097">
        <v>40</v>
      </c>
    </row>
    <row r="1098" spans="1:17" x14ac:dyDescent="0.3">
      <c r="A1098" s="1" t="s">
        <v>1565</v>
      </c>
      <c r="B1098" s="2">
        <v>44837.45416666667</v>
      </c>
      <c r="C1098" s="1" t="s">
        <v>37</v>
      </c>
      <c r="D1098" s="1" t="s">
        <v>44</v>
      </c>
      <c r="E1098" s="1" t="s">
        <v>45</v>
      </c>
      <c r="F1098" s="1" t="s">
        <v>20</v>
      </c>
      <c r="G1098" s="1" t="s">
        <v>20</v>
      </c>
      <c r="H1098" s="1" t="s">
        <v>20</v>
      </c>
      <c r="I1098" s="1" t="s">
        <v>20</v>
      </c>
      <c r="J1098" s="1" t="s">
        <v>20</v>
      </c>
      <c r="K1098" s="1" t="s">
        <v>1597</v>
      </c>
      <c r="L1098">
        <v>20221003105432</v>
      </c>
      <c r="M1098" s="1" t="s">
        <v>1570</v>
      </c>
      <c r="N1098" s="1" t="s">
        <v>120</v>
      </c>
      <c r="O1098">
        <v>10</v>
      </c>
      <c r="P1098" s="3">
        <v>44837</v>
      </c>
      <c r="Q1098">
        <v>40</v>
      </c>
    </row>
    <row r="1099" spans="1:17" x14ac:dyDescent="0.3">
      <c r="A1099" s="1" t="s">
        <v>1565</v>
      </c>
      <c r="B1099" s="2">
        <v>44837.45416666667</v>
      </c>
      <c r="C1099" s="1" t="s">
        <v>37</v>
      </c>
      <c r="D1099" s="1" t="s">
        <v>47</v>
      </c>
      <c r="E1099" s="1" t="s">
        <v>51</v>
      </c>
      <c r="F1099" s="1" t="s">
        <v>20</v>
      </c>
      <c r="G1099" s="1" t="s">
        <v>20</v>
      </c>
      <c r="H1099" s="1" t="s">
        <v>20</v>
      </c>
      <c r="I1099" s="1" t="s">
        <v>20</v>
      </c>
      <c r="J1099" s="1" t="s">
        <v>20</v>
      </c>
      <c r="K1099" s="1" t="s">
        <v>1597</v>
      </c>
      <c r="L1099">
        <v>20221003105441</v>
      </c>
      <c r="M1099" s="1" t="s">
        <v>1571</v>
      </c>
      <c r="N1099" s="1" t="s">
        <v>120</v>
      </c>
      <c r="O1099">
        <v>10</v>
      </c>
      <c r="P1099" s="3">
        <v>44837</v>
      </c>
      <c r="Q1099">
        <v>40</v>
      </c>
    </row>
    <row r="1100" spans="1:17" x14ac:dyDescent="0.3">
      <c r="A1100" s="1" t="s">
        <v>1565</v>
      </c>
      <c r="B1100" s="2">
        <v>44837.45416666667</v>
      </c>
      <c r="C1100" s="1" t="s">
        <v>37</v>
      </c>
      <c r="D1100" s="1" t="s">
        <v>47</v>
      </c>
      <c r="E1100" s="1" t="s">
        <v>536</v>
      </c>
      <c r="F1100" s="1" t="s">
        <v>20</v>
      </c>
      <c r="G1100" s="1" t="s">
        <v>20</v>
      </c>
      <c r="H1100" s="1" t="s">
        <v>20</v>
      </c>
      <c r="I1100" s="1" t="s">
        <v>20</v>
      </c>
      <c r="J1100" s="1" t="s">
        <v>20</v>
      </c>
      <c r="K1100" s="1" t="s">
        <v>1597</v>
      </c>
      <c r="L1100">
        <v>20221003105448</v>
      </c>
      <c r="M1100" s="1" t="s">
        <v>1572</v>
      </c>
      <c r="N1100" s="1" t="s">
        <v>120</v>
      </c>
      <c r="O1100">
        <v>10</v>
      </c>
      <c r="P1100" s="3">
        <v>44837</v>
      </c>
      <c r="Q1100">
        <v>40</v>
      </c>
    </row>
    <row r="1101" spans="1:17" x14ac:dyDescent="0.3">
      <c r="A1101" s="1" t="s">
        <v>1565</v>
      </c>
      <c r="B1101" s="2">
        <v>44837.45416666667</v>
      </c>
      <c r="C1101" s="1" t="s">
        <v>37</v>
      </c>
      <c r="D1101" s="1" t="s">
        <v>53</v>
      </c>
      <c r="E1101" s="1" t="s">
        <v>54</v>
      </c>
      <c r="F1101" s="1" t="s">
        <v>20</v>
      </c>
      <c r="G1101" s="1" t="s">
        <v>20</v>
      </c>
      <c r="H1101" s="1" t="s">
        <v>20</v>
      </c>
      <c r="I1101" s="1" t="s">
        <v>20</v>
      </c>
      <c r="J1101" s="1" t="s">
        <v>20</v>
      </c>
      <c r="K1101" s="1" t="s">
        <v>1597</v>
      </c>
      <c r="L1101">
        <v>20221003105455</v>
      </c>
      <c r="M1101" s="1" t="s">
        <v>1573</v>
      </c>
      <c r="N1101" s="1" t="s">
        <v>120</v>
      </c>
      <c r="O1101">
        <v>10</v>
      </c>
      <c r="P1101" s="3">
        <v>44837</v>
      </c>
      <c r="Q1101">
        <v>40</v>
      </c>
    </row>
    <row r="1102" spans="1:17" x14ac:dyDescent="0.3">
      <c r="A1102" s="1" t="s">
        <v>1565</v>
      </c>
      <c r="B1102" s="2">
        <v>44837.45416666667</v>
      </c>
      <c r="C1102" s="1" t="s">
        <v>37</v>
      </c>
      <c r="D1102" s="1" t="s">
        <v>53</v>
      </c>
      <c r="E1102" s="1" t="s">
        <v>56</v>
      </c>
      <c r="F1102" s="1" t="s">
        <v>20</v>
      </c>
      <c r="G1102" s="1" t="s">
        <v>20</v>
      </c>
      <c r="H1102" s="1" t="s">
        <v>20</v>
      </c>
      <c r="I1102" s="1" t="s">
        <v>20</v>
      </c>
      <c r="J1102" s="1" t="s">
        <v>20</v>
      </c>
      <c r="K1102" s="1" t="s">
        <v>1597</v>
      </c>
      <c r="L1102">
        <v>20221003105507</v>
      </c>
      <c r="M1102" s="1" t="s">
        <v>1574</v>
      </c>
      <c r="N1102" s="1" t="s">
        <v>120</v>
      </c>
      <c r="O1102">
        <v>10</v>
      </c>
      <c r="P1102" s="3">
        <v>44837</v>
      </c>
      <c r="Q1102">
        <v>40</v>
      </c>
    </row>
    <row r="1103" spans="1:17" x14ac:dyDescent="0.3">
      <c r="A1103" s="1" t="s">
        <v>1565</v>
      </c>
      <c r="B1103" s="2">
        <v>44837.45416666667</v>
      </c>
      <c r="C1103" s="1" t="s">
        <v>37</v>
      </c>
      <c r="D1103" s="1" t="s">
        <v>60</v>
      </c>
      <c r="E1103" s="1" t="s">
        <v>61</v>
      </c>
      <c r="F1103" s="1" t="s">
        <v>20</v>
      </c>
      <c r="G1103" s="1" t="s">
        <v>20</v>
      </c>
      <c r="H1103" s="1" t="s">
        <v>20</v>
      </c>
      <c r="I1103" s="1" t="s">
        <v>20</v>
      </c>
      <c r="J1103" s="1" t="s">
        <v>20</v>
      </c>
      <c r="K1103" s="1" t="s">
        <v>1597</v>
      </c>
      <c r="L1103">
        <v>20221003105516</v>
      </c>
      <c r="M1103" s="1" t="s">
        <v>1575</v>
      </c>
      <c r="N1103" s="1" t="s">
        <v>120</v>
      </c>
      <c r="O1103">
        <v>10</v>
      </c>
      <c r="P1103" s="3">
        <v>44837</v>
      </c>
      <c r="Q1103">
        <v>40</v>
      </c>
    </row>
    <row r="1104" spans="1:17" x14ac:dyDescent="0.3">
      <c r="A1104" s="1" t="s">
        <v>1565</v>
      </c>
      <c r="B1104" s="2">
        <v>44837.45416666667</v>
      </c>
      <c r="C1104" s="1" t="s">
        <v>18</v>
      </c>
      <c r="D1104" s="1" t="s">
        <v>47</v>
      </c>
      <c r="E1104" s="1" t="s">
        <v>77</v>
      </c>
      <c r="F1104" s="1" t="s">
        <v>20</v>
      </c>
      <c r="G1104" s="1" t="s">
        <v>20</v>
      </c>
      <c r="H1104" s="1" t="s">
        <v>20</v>
      </c>
      <c r="I1104" s="1" t="s">
        <v>20</v>
      </c>
      <c r="J1104" s="1" t="s">
        <v>48</v>
      </c>
      <c r="K1104" s="1" t="s">
        <v>1340</v>
      </c>
      <c r="L1104">
        <v>20221003105526</v>
      </c>
      <c r="M1104" s="1" t="s">
        <v>1576</v>
      </c>
      <c r="N1104" s="1" t="s">
        <v>120</v>
      </c>
      <c r="O1104">
        <v>10</v>
      </c>
      <c r="P1104" s="3">
        <v>44837</v>
      </c>
      <c r="Q1104">
        <v>40</v>
      </c>
    </row>
    <row r="1105" spans="1:17" x14ac:dyDescent="0.3">
      <c r="A1105" s="1" t="s">
        <v>1565</v>
      </c>
      <c r="B1105" s="2">
        <v>44837.45416666667</v>
      </c>
      <c r="C1105" s="1" t="s">
        <v>37</v>
      </c>
      <c r="D1105" s="1" t="s">
        <v>29</v>
      </c>
      <c r="E1105" s="1" t="s">
        <v>30</v>
      </c>
      <c r="F1105" s="1" t="s">
        <v>20</v>
      </c>
      <c r="G1105" s="1" t="s">
        <v>20</v>
      </c>
      <c r="H1105" s="1" t="s">
        <v>20</v>
      </c>
      <c r="I1105" s="1" t="s">
        <v>20</v>
      </c>
      <c r="J1105" s="1" t="s">
        <v>20</v>
      </c>
      <c r="K1105" s="1" t="s">
        <v>1597</v>
      </c>
      <c r="L1105">
        <v>20221003105541</v>
      </c>
      <c r="M1105" s="1" t="s">
        <v>1577</v>
      </c>
      <c r="N1105" s="1" t="s">
        <v>120</v>
      </c>
      <c r="O1105">
        <v>10</v>
      </c>
      <c r="P1105" s="3">
        <v>44837</v>
      </c>
      <c r="Q1105">
        <v>40</v>
      </c>
    </row>
    <row r="1106" spans="1:17" x14ac:dyDescent="0.3">
      <c r="A1106" s="1" t="s">
        <v>1565</v>
      </c>
      <c r="B1106" s="2">
        <v>44837.45416666667</v>
      </c>
      <c r="C1106" s="1" t="s">
        <v>37</v>
      </c>
      <c r="D1106" s="1" t="s">
        <v>29</v>
      </c>
      <c r="E1106" s="1" t="s">
        <v>554</v>
      </c>
      <c r="F1106" s="1" t="s">
        <v>20</v>
      </c>
      <c r="G1106" s="1" t="s">
        <v>20</v>
      </c>
      <c r="H1106" s="1" t="s">
        <v>20</v>
      </c>
      <c r="I1106" s="1" t="s">
        <v>20</v>
      </c>
      <c r="J1106" s="1" t="s">
        <v>20</v>
      </c>
      <c r="K1106" s="1" t="s">
        <v>1597</v>
      </c>
      <c r="L1106">
        <v>20221003105551</v>
      </c>
      <c r="M1106" s="1" t="s">
        <v>1578</v>
      </c>
      <c r="N1106" s="1" t="s">
        <v>120</v>
      </c>
      <c r="O1106">
        <v>10</v>
      </c>
      <c r="P1106" s="3">
        <v>44837</v>
      </c>
      <c r="Q1106">
        <v>40</v>
      </c>
    </row>
    <row r="1107" spans="1:17" x14ac:dyDescent="0.3">
      <c r="A1107" s="1" t="s">
        <v>1565</v>
      </c>
      <c r="B1107" s="2">
        <v>44837.45416666667</v>
      </c>
      <c r="C1107" s="1" t="s">
        <v>37</v>
      </c>
      <c r="D1107" s="1" t="s">
        <v>19</v>
      </c>
      <c r="E1107" s="1" t="s">
        <v>58</v>
      </c>
      <c r="F1107" s="1" t="s">
        <v>20</v>
      </c>
      <c r="G1107" s="1" t="s">
        <v>20</v>
      </c>
      <c r="H1107" s="1" t="s">
        <v>20</v>
      </c>
      <c r="I1107" s="1" t="s">
        <v>20</v>
      </c>
      <c r="J1107" s="1" t="s">
        <v>20</v>
      </c>
      <c r="K1107" s="1" t="s">
        <v>20</v>
      </c>
      <c r="L1107">
        <v>20221003105611</v>
      </c>
      <c r="M1107" s="1" t="s">
        <v>1579</v>
      </c>
      <c r="N1107" s="1" t="s">
        <v>120</v>
      </c>
      <c r="O1107">
        <v>10</v>
      </c>
      <c r="P1107" s="3">
        <v>44837</v>
      </c>
      <c r="Q1107">
        <v>40</v>
      </c>
    </row>
    <row r="1108" spans="1:17" x14ac:dyDescent="0.3">
      <c r="A1108" s="1" t="s">
        <v>1580</v>
      </c>
      <c r="B1108" s="2">
        <v>44838.42291666667</v>
      </c>
      <c r="C1108" s="1" t="s">
        <v>37</v>
      </c>
      <c r="D1108" s="1" t="s">
        <v>26</v>
      </c>
      <c r="E1108" s="1" t="s">
        <v>27</v>
      </c>
      <c r="F1108" s="1" t="s">
        <v>77</v>
      </c>
      <c r="G1108" s="1" t="s">
        <v>77</v>
      </c>
      <c r="H1108" s="1" t="s">
        <v>77</v>
      </c>
      <c r="I1108" s="1" t="s">
        <v>77</v>
      </c>
      <c r="J1108" s="1" t="s">
        <v>77</v>
      </c>
      <c r="K1108" s="1" t="s">
        <v>77</v>
      </c>
      <c r="L1108">
        <v>20221004100906</v>
      </c>
      <c r="M1108" s="1" t="s">
        <v>1581</v>
      </c>
      <c r="N1108" s="1" t="s">
        <v>140</v>
      </c>
      <c r="O1108">
        <v>10</v>
      </c>
      <c r="P1108" s="3">
        <v>44838</v>
      </c>
      <c r="Q1108">
        <v>40</v>
      </c>
    </row>
    <row r="1109" spans="1:17" x14ac:dyDescent="0.3">
      <c r="A1109" s="1" t="s">
        <v>1582</v>
      </c>
      <c r="B1109" s="2">
        <v>44838.423611111109</v>
      </c>
      <c r="C1109" s="1" t="s">
        <v>37</v>
      </c>
      <c r="D1109" s="1" t="s">
        <v>195</v>
      </c>
      <c r="E1109" s="1" t="s">
        <v>21</v>
      </c>
      <c r="F1109" s="1" t="s">
        <v>77</v>
      </c>
      <c r="G1109" s="1" t="s">
        <v>77</v>
      </c>
      <c r="H1109" s="1" t="s">
        <v>77</v>
      </c>
      <c r="I1109" s="1" t="s">
        <v>77</v>
      </c>
      <c r="J1109" s="1" t="s">
        <v>77</v>
      </c>
      <c r="K1109" s="1" t="s">
        <v>77</v>
      </c>
      <c r="L1109">
        <v>20221004101022</v>
      </c>
      <c r="M1109" s="1" t="s">
        <v>1583</v>
      </c>
      <c r="N1109" s="1" t="s">
        <v>140</v>
      </c>
      <c r="O1109">
        <v>10</v>
      </c>
      <c r="P1109" s="3">
        <v>44838</v>
      </c>
      <c r="Q1109">
        <v>40</v>
      </c>
    </row>
    <row r="1110" spans="1:17" x14ac:dyDescent="0.3">
      <c r="A1110" s="1" t="s">
        <v>1582</v>
      </c>
      <c r="B1110" s="2">
        <v>44838.423611111109</v>
      </c>
      <c r="C1110" s="1" t="s">
        <v>37</v>
      </c>
      <c r="D1110" s="1" t="s">
        <v>38</v>
      </c>
      <c r="E1110" s="1" t="s">
        <v>39</v>
      </c>
      <c r="F1110" s="1" t="s">
        <v>77</v>
      </c>
      <c r="G1110" s="1" t="s">
        <v>77</v>
      </c>
      <c r="H1110" s="1" t="s">
        <v>77</v>
      </c>
      <c r="I1110" s="1" t="s">
        <v>77</v>
      </c>
      <c r="J1110" s="1" t="s">
        <v>77</v>
      </c>
      <c r="K1110" s="1" t="s">
        <v>77</v>
      </c>
      <c r="L1110">
        <v>20221004101030</v>
      </c>
      <c r="M1110" s="1" t="s">
        <v>1584</v>
      </c>
      <c r="N1110" s="1" t="s">
        <v>140</v>
      </c>
      <c r="O1110">
        <v>10</v>
      </c>
      <c r="P1110" s="3">
        <v>44838</v>
      </c>
      <c r="Q1110">
        <v>40</v>
      </c>
    </row>
    <row r="1111" spans="1:17" x14ac:dyDescent="0.3">
      <c r="A1111" s="1" t="s">
        <v>1582</v>
      </c>
      <c r="B1111" s="2">
        <v>44838.423611111109</v>
      </c>
      <c r="C1111" s="1" t="s">
        <v>37</v>
      </c>
      <c r="D1111" s="1" t="s">
        <v>41</v>
      </c>
      <c r="E1111" s="1" t="s">
        <v>42</v>
      </c>
      <c r="F1111" s="1" t="s">
        <v>77</v>
      </c>
      <c r="G1111" s="1" t="s">
        <v>77</v>
      </c>
      <c r="H1111" s="1" t="s">
        <v>77</v>
      </c>
      <c r="I1111" s="1" t="s">
        <v>77</v>
      </c>
      <c r="J1111" s="1" t="s">
        <v>77</v>
      </c>
      <c r="K1111" s="1" t="s">
        <v>77</v>
      </c>
      <c r="L1111">
        <v>20221004101038</v>
      </c>
      <c r="M1111" s="1" t="s">
        <v>1585</v>
      </c>
      <c r="N1111" s="1" t="s">
        <v>140</v>
      </c>
      <c r="O1111">
        <v>10</v>
      </c>
      <c r="P1111" s="3">
        <v>44838</v>
      </c>
      <c r="Q1111">
        <v>40</v>
      </c>
    </row>
    <row r="1112" spans="1:17" x14ac:dyDescent="0.3">
      <c r="A1112" s="1" t="s">
        <v>1582</v>
      </c>
      <c r="B1112" s="2">
        <v>44838.423611111109</v>
      </c>
      <c r="C1112" s="1" t="s">
        <v>37</v>
      </c>
      <c r="D1112" s="1" t="s">
        <v>44</v>
      </c>
      <c r="E1112" s="1" t="s">
        <v>45</v>
      </c>
      <c r="F1112" s="1" t="s">
        <v>77</v>
      </c>
      <c r="G1112" s="1" t="s">
        <v>77</v>
      </c>
      <c r="H1112" s="1" t="s">
        <v>77</v>
      </c>
      <c r="I1112" s="1" t="s">
        <v>77</v>
      </c>
      <c r="J1112" s="1" t="s">
        <v>77</v>
      </c>
      <c r="K1112" s="1" t="s">
        <v>77</v>
      </c>
      <c r="L1112">
        <v>20221004101044</v>
      </c>
      <c r="M1112" s="1" t="s">
        <v>1586</v>
      </c>
      <c r="N1112" s="1" t="s">
        <v>140</v>
      </c>
      <c r="O1112">
        <v>10</v>
      </c>
      <c r="P1112" s="3">
        <v>44838</v>
      </c>
      <c r="Q1112">
        <v>40</v>
      </c>
    </row>
    <row r="1113" spans="1:17" x14ac:dyDescent="0.3">
      <c r="A1113" s="1" t="s">
        <v>1582</v>
      </c>
      <c r="B1113" s="2">
        <v>44838.423611111109</v>
      </c>
      <c r="C1113" s="1" t="s">
        <v>37</v>
      </c>
      <c r="D1113" s="1" t="s">
        <v>47</v>
      </c>
      <c r="E1113" s="1" t="s">
        <v>51</v>
      </c>
      <c r="F1113" s="1" t="s">
        <v>77</v>
      </c>
      <c r="G1113" s="1" t="s">
        <v>77</v>
      </c>
      <c r="H1113" s="1" t="s">
        <v>77</v>
      </c>
      <c r="I1113" s="1" t="s">
        <v>77</v>
      </c>
      <c r="J1113" s="1" t="s">
        <v>77</v>
      </c>
      <c r="K1113" s="1" t="s">
        <v>77</v>
      </c>
      <c r="L1113">
        <v>20221004101052</v>
      </c>
      <c r="M1113" s="1" t="s">
        <v>1587</v>
      </c>
      <c r="N1113" s="1" t="s">
        <v>140</v>
      </c>
      <c r="O1113">
        <v>10</v>
      </c>
      <c r="P1113" s="3">
        <v>44838</v>
      </c>
      <c r="Q1113">
        <v>40</v>
      </c>
    </row>
    <row r="1114" spans="1:17" x14ac:dyDescent="0.3">
      <c r="A1114" s="1" t="s">
        <v>1582</v>
      </c>
      <c r="B1114" s="2">
        <v>44838.424305555556</v>
      </c>
      <c r="C1114" s="1" t="s">
        <v>37</v>
      </c>
      <c r="D1114" s="1" t="s">
        <v>47</v>
      </c>
      <c r="E1114" s="1" t="s">
        <v>536</v>
      </c>
      <c r="F1114" s="1" t="s">
        <v>77</v>
      </c>
      <c r="G1114" s="1" t="s">
        <v>77</v>
      </c>
      <c r="H1114" s="1" t="s">
        <v>77</v>
      </c>
      <c r="I1114" s="1" t="s">
        <v>77</v>
      </c>
      <c r="J1114" s="1" t="s">
        <v>77</v>
      </c>
      <c r="K1114" s="1" t="s">
        <v>77</v>
      </c>
      <c r="L1114">
        <v>20221004101058</v>
      </c>
      <c r="M1114" s="1" t="s">
        <v>1588</v>
      </c>
      <c r="N1114" s="1" t="s">
        <v>140</v>
      </c>
      <c r="O1114">
        <v>10</v>
      </c>
      <c r="P1114" s="3">
        <v>44838</v>
      </c>
      <c r="Q1114">
        <v>40</v>
      </c>
    </row>
    <row r="1115" spans="1:17" x14ac:dyDescent="0.3">
      <c r="A1115" s="1" t="s">
        <v>1589</v>
      </c>
      <c r="B1115" s="2">
        <v>44838.424305555556</v>
      </c>
      <c r="C1115" s="1" t="s">
        <v>37</v>
      </c>
      <c r="D1115" s="1" t="s">
        <v>53</v>
      </c>
      <c r="E1115" s="1" t="s">
        <v>56</v>
      </c>
      <c r="F1115" s="1" t="s">
        <v>77</v>
      </c>
      <c r="G1115" s="1" t="s">
        <v>77</v>
      </c>
      <c r="H1115" s="1" t="s">
        <v>77</v>
      </c>
      <c r="I1115" s="1" t="s">
        <v>77</v>
      </c>
      <c r="J1115" s="1" t="s">
        <v>77</v>
      </c>
      <c r="K1115" s="1" t="s">
        <v>77</v>
      </c>
      <c r="L1115">
        <v>20221004101116</v>
      </c>
      <c r="M1115" s="1" t="s">
        <v>1590</v>
      </c>
      <c r="N1115" s="1" t="s">
        <v>140</v>
      </c>
      <c r="O1115">
        <v>10</v>
      </c>
      <c r="P1115" s="3">
        <v>44838</v>
      </c>
      <c r="Q1115">
        <v>40</v>
      </c>
    </row>
    <row r="1116" spans="1:17" x14ac:dyDescent="0.3">
      <c r="A1116" s="1" t="s">
        <v>1589</v>
      </c>
      <c r="B1116" s="2">
        <v>44838.424305555556</v>
      </c>
      <c r="C1116" s="1" t="s">
        <v>37</v>
      </c>
      <c r="D1116" s="1" t="s">
        <v>19</v>
      </c>
      <c r="E1116" s="1" t="s">
        <v>58</v>
      </c>
      <c r="F1116" s="1" t="s">
        <v>77</v>
      </c>
      <c r="G1116" s="1" t="s">
        <v>77</v>
      </c>
      <c r="H1116" s="1" t="s">
        <v>77</v>
      </c>
      <c r="I1116" s="1" t="s">
        <v>77</v>
      </c>
      <c r="J1116" s="1" t="s">
        <v>77</v>
      </c>
      <c r="K1116" s="1" t="s">
        <v>77</v>
      </c>
      <c r="L1116">
        <v>20221004101128</v>
      </c>
      <c r="M1116" s="1" t="s">
        <v>1591</v>
      </c>
      <c r="N1116" s="1" t="s">
        <v>140</v>
      </c>
      <c r="O1116">
        <v>10</v>
      </c>
      <c r="P1116" s="3">
        <v>44838</v>
      </c>
      <c r="Q1116">
        <v>40</v>
      </c>
    </row>
    <row r="1117" spans="1:17" x14ac:dyDescent="0.3">
      <c r="A1117" s="1" t="s">
        <v>1589</v>
      </c>
      <c r="B1117" s="2">
        <v>44838.424305555556</v>
      </c>
      <c r="C1117" s="1" t="s">
        <v>37</v>
      </c>
      <c r="D1117" s="1" t="s">
        <v>60</v>
      </c>
      <c r="E1117" s="1" t="s">
        <v>61</v>
      </c>
      <c r="F1117" s="1" t="s">
        <v>77</v>
      </c>
      <c r="G1117" s="1" t="s">
        <v>77</v>
      </c>
      <c r="H1117" s="1" t="s">
        <v>77</v>
      </c>
      <c r="I1117" s="1" t="s">
        <v>77</v>
      </c>
      <c r="J1117" s="1" t="s">
        <v>77</v>
      </c>
      <c r="K1117" s="1" t="s">
        <v>77</v>
      </c>
      <c r="L1117">
        <v>20221004101135</v>
      </c>
      <c r="M1117" s="1" t="s">
        <v>1592</v>
      </c>
      <c r="N1117" s="1" t="s">
        <v>140</v>
      </c>
      <c r="O1117">
        <v>10</v>
      </c>
      <c r="P1117" s="3">
        <v>44838</v>
      </c>
      <c r="Q1117">
        <v>40</v>
      </c>
    </row>
    <row r="1118" spans="1:17" x14ac:dyDescent="0.3">
      <c r="A1118" s="1" t="s">
        <v>1589</v>
      </c>
      <c r="B1118" s="2">
        <v>44838.424305555556</v>
      </c>
      <c r="C1118" s="1" t="s">
        <v>37</v>
      </c>
      <c r="D1118" s="1" t="s">
        <v>29</v>
      </c>
      <c r="E1118" s="1" t="s">
        <v>30</v>
      </c>
      <c r="F1118" s="1" t="s">
        <v>77</v>
      </c>
      <c r="G1118" s="1" t="s">
        <v>77</v>
      </c>
      <c r="H1118" s="1" t="s">
        <v>77</v>
      </c>
      <c r="I1118" s="1" t="s">
        <v>77</v>
      </c>
      <c r="J1118" s="1" t="s">
        <v>77</v>
      </c>
      <c r="K1118" s="1" t="s">
        <v>77</v>
      </c>
      <c r="L1118">
        <v>20221004101155</v>
      </c>
      <c r="M1118" s="1" t="s">
        <v>1593</v>
      </c>
      <c r="N1118" s="1" t="s">
        <v>140</v>
      </c>
      <c r="O1118">
        <v>10</v>
      </c>
      <c r="P1118" s="3">
        <v>44838</v>
      </c>
      <c r="Q1118">
        <v>40</v>
      </c>
    </row>
    <row r="1119" spans="1:17" x14ac:dyDescent="0.3">
      <c r="A1119" s="1" t="s">
        <v>1594</v>
      </c>
      <c r="B1119" s="2">
        <v>44838.425000000003</v>
      </c>
      <c r="C1119" s="1" t="s">
        <v>37</v>
      </c>
      <c r="D1119" s="1" t="s">
        <v>29</v>
      </c>
      <c r="E1119" s="1" t="s">
        <v>554</v>
      </c>
      <c r="F1119" s="1" t="s">
        <v>77</v>
      </c>
      <c r="G1119" s="1" t="s">
        <v>77</v>
      </c>
      <c r="H1119" s="1" t="s">
        <v>77</v>
      </c>
      <c r="I1119" s="1" t="s">
        <v>77</v>
      </c>
      <c r="J1119" s="1" t="s">
        <v>77</v>
      </c>
      <c r="K1119" s="1" t="s">
        <v>77</v>
      </c>
      <c r="L1119">
        <v>20221004101202</v>
      </c>
      <c r="M1119" s="1" t="s">
        <v>1595</v>
      </c>
      <c r="N1119" s="1" t="s">
        <v>140</v>
      </c>
      <c r="O1119">
        <v>10</v>
      </c>
      <c r="P1119" s="3">
        <v>44838</v>
      </c>
      <c r="Q1119">
        <v>40</v>
      </c>
    </row>
    <row r="1120" spans="1:17" x14ac:dyDescent="0.3">
      <c r="A1120" s="1" t="s">
        <v>1594</v>
      </c>
      <c r="B1120" s="2">
        <v>44838.425000000003</v>
      </c>
      <c r="C1120" s="1" t="s">
        <v>434</v>
      </c>
      <c r="D1120" s="1" t="s">
        <v>53</v>
      </c>
      <c r="E1120" s="1" t="s">
        <v>77</v>
      </c>
      <c r="F1120" s="1" t="s">
        <v>77</v>
      </c>
      <c r="G1120" s="1" t="s">
        <v>77</v>
      </c>
      <c r="H1120" s="1" t="s">
        <v>54</v>
      </c>
      <c r="I1120" s="1" t="s">
        <v>435</v>
      </c>
      <c r="J1120" s="1" t="s">
        <v>77</v>
      </c>
      <c r="K1120" s="1" t="s">
        <v>77</v>
      </c>
      <c r="L1120">
        <v>20221004101208</v>
      </c>
      <c r="M1120" s="1" t="s">
        <v>1596</v>
      </c>
      <c r="N1120" s="1" t="s">
        <v>140</v>
      </c>
      <c r="O1120">
        <v>10</v>
      </c>
      <c r="P1120" s="3">
        <v>44838</v>
      </c>
      <c r="Q1120">
        <v>40</v>
      </c>
    </row>
    <row r="1121" spans="1:17" x14ac:dyDescent="0.3">
      <c r="A1121" s="1" t="s">
        <v>1598</v>
      </c>
      <c r="B1121" s="2">
        <v>44839.42291666667</v>
      </c>
      <c r="C1121" s="1" t="s">
        <v>37</v>
      </c>
      <c r="D1121" s="1" t="s">
        <v>26</v>
      </c>
      <c r="E1121" s="1" t="s">
        <v>27</v>
      </c>
      <c r="F1121" s="1" t="s">
        <v>77</v>
      </c>
      <c r="G1121" s="1" t="s">
        <v>77</v>
      </c>
      <c r="H1121" s="1" t="s">
        <v>77</v>
      </c>
      <c r="I1121" s="1" t="s">
        <v>77</v>
      </c>
      <c r="J1121" s="1" t="s">
        <v>77</v>
      </c>
      <c r="K1121" s="1" t="s">
        <v>77</v>
      </c>
      <c r="L1121">
        <v>20221005100906</v>
      </c>
      <c r="M1121" s="1" t="s">
        <v>1599</v>
      </c>
      <c r="N1121" s="1" t="s">
        <v>24</v>
      </c>
      <c r="O1121">
        <v>10</v>
      </c>
      <c r="P1121" s="3">
        <v>44839</v>
      </c>
      <c r="Q1121">
        <v>40</v>
      </c>
    </row>
    <row r="1122" spans="1:17" x14ac:dyDescent="0.3">
      <c r="A1122" s="1" t="s">
        <v>1600</v>
      </c>
      <c r="B1122" s="2">
        <v>44839.423611111109</v>
      </c>
      <c r="C1122" s="1" t="s">
        <v>37</v>
      </c>
      <c r="D1122" s="1" t="s">
        <v>195</v>
      </c>
      <c r="E1122" s="1" t="s">
        <v>21</v>
      </c>
      <c r="F1122" s="1" t="s">
        <v>77</v>
      </c>
      <c r="G1122" s="1" t="s">
        <v>77</v>
      </c>
      <c r="H1122" s="1" t="s">
        <v>77</v>
      </c>
      <c r="I1122" s="1" t="s">
        <v>77</v>
      </c>
      <c r="J1122" s="1" t="s">
        <v>77</v>
      </c>
      <c r="K1122" s="1" t="s">
        <v>77</v>
      </c>
      <c r="L1122">
        <v>20221005101022</v>
      </c>
      <c r="M1122" s="1" t="s">
        <v>1601</v>
      </c>
      <c r="N1122" s="1" t="s">
        <v>24</v>
      </c>
      <c r="O1122">
        <v>10</v>
      </c>
      <c r="P1122" s="3">
        <v>44839</v>
      </c>
      <c r="Q1122">
        <v>40</v>
      </c>
    </row>
    <row r="1123" spans="1:17" x14ac:dyDescent="0.3">
      <c r="A1123" s="1" t="s">
        <v>1600</v>
      </c>
      <c r="B1123" s="2">
        <v>44839.423611111109</v>
      </c>
      <c r="C1123" s="1" t="s">
        <v>37</v>
      </c>
      <c r="D1123" s="1" t="s">
        <v>38</v>
      </c>
      <c r="E1123" s="1" t="s">
        <v>39</v>
      </c>
      <c r="F1123" s="1" t="s">
        <v>77</v>
      </c>
      <c r="G1123" s="1" t="s">
        <v>77</v>
      </c>
      <c r="H1123" s="1" t="s">
        <v>77</v>
      </c>
      <c r="I1123" s="1" t="s">
        <v>77</v>
      </c>
      <c r="J1123" s="1" t="s">
        <v>77</v>
      </c>
      <c r="K1123" s="1" t="s">
        <v>77</v>
      </c>
      <c r="L1123">
        <v>20221005101030</v>
      </c>
      <c r="M1123" s="1" t="s">
        <v>1602</v>
      </c>
      <c r="N1123" s="1" t="s">
        <v>24</v>
      </c>
      <c r="O1123">
        <v>10</v>
      </c>
      <c r="P1123" s="3">
        <v>44839</v>
      </c>
      <c r="Q1123">
        <v>40</v>
      </c>
    </row>
    <row r="1124" spans="1:17" x14ac:dyDescent="0.3">
      <c r="A1124" s="1" t="s">
        <v>1600</v>
      </c>
      <c r="B1124" s="2">
        <v>44839.423611111109</v>
      </c>
      <c r="C1124" s="1" t="s">
        <v>37</v>
      </c>
      <c r="D1124" s="1" t="s">
        <v>41</v>
      </c>
      <c r="E1124" s="1" t="s">
        <v>42</v>
      </c>
      <c r="F1124" s="1" t="s">
        <v>77</v>
      </c>
      <c r="G1124" s="1" t="s">
        <v>77</v>
      </c>
      <c r="H1124" s="1" t="s">
        <v>77</v>
      </c>
      <c r="I1124" s="1" t="s">
        <v>77</v>
      </c>
      <c r="J1124" s="1" t="s">
        <v>77</v>
      </c>
      <c r="K1124" s="1" t="s">
        <v>77</v>
      </c>
      <c r="L1124">
        <v>20221005101038</v>
      </c>
      <c r="M1124" s="1" t="s">
        <v>1603</v>
      </c>
      <c r="N1124" s="1" t="s">
        <v>24</v>
      </c>
      <c r="O1124">
        <v>10</v>
      </c>
      <c r="P1124" s="3">
        <v>44839</v>
      </c>
      <c r="Q1124">
        <v>40</v>
      </c>
    </row>
    <row r="1125" spans="1:17" x14ac:dyDescent="0.3">
      <c r="A1125" s="1" t="s">
        <v>1600</v>
      </c>
      <c r="B1125" s="2">
        <v>44839.423611111109</v>
      </c>
      <c r="C1125" s="1" t="s">
        <v>37</v>
      </c>
      <c r="D1125" s="1" t="s">
        <v>44</v>
      </c>
      <c r="E1125" s="1" t="s">
        <v>45</v>
      </c>
      <c r="F1125" s="1" t="s">
        <v>77</v>
      </c>
      <c r="G1125" s="1" t="s">
        <v>77</v>
      </c>
      <c r="H1125" s="1" t="s">
        <v>77</v>
      </c>
      <c r="I1125" s="1" t="s">
        <v>77</v>
      </c>
      <c r="J1125" s="1" t="s">
        <v>77</v>
      </c>
      <c r="K1125" s="1" t="s">
        <v>77</v>
      </c>
      <c r="L1125">
        <v>20221005101054</v>
      </c>
      <c r="M1125" s="1" t="s">
        <v>1604</v>
      </c>
      <c r="N1125" s="1" t="s">
        <v>24</v>
      </c>
      <c r="O1125">
        <v>10</v>
      </c>
      <c r="P1125" s="3">
        <v>44839</v>
      </c>
      <c r="Q1125">
        <v>40</v>
      </c>
    </row>
    <row r="1126" spans="1:17" x14ac:dyDescent="0.3">
      <c r="A1126" s="1" t="s">
        <v>1600</v>
      </c>
      <c r="B1126" s="2">
        <v>44839.423611111109</v>
      </c>
      <c r="C1126" s="1" t="s">
        <v>37</v>
      </c>
      <c r="D1126" s="1" t="s">
        <v>47</v>
      </c>
      <c r="E1126" s="1" t="s">
        <v>51</v>
      </c>
      <c r="F1126" s="1" t="s">
        <v>77</v>
      </c>
      <c r="G1126" s="1" t="s">
        <v>77</v>
      </c>
      <c r="H1126" s="1" t="s">
        <v>77</v>
      </c>
      <c r="I1126" s="1" t="s">
        <v>77</v>
      </c>
      <c r="J1126" s="1" t="s">
        <v>77</v>
      </c>
      <c r="K1126" s="1" t="s">
        <v>77</v>
      </c>
      <c r="L1126">
        <v>20221005101052</v>
      </c>
      <c r="M1126" s="1" t="s">
        <v>1605</v>
      </c>
      <c r="N1126" s="1" t="s">
        <v>24</v>
      </c>
      <c r="O1126">
        <v>10</v>
      </c>
      <c r="P1126" s="3">
        <v>44839</v>
      </c>
      <c r="Q1126">
        <v>40</v>
      </c>
    </row>
    <row r="1127" spans="1:17" x14ac:dyDescent="0.3">
      <c r="A1127" s="1" t="s">
        <v>1600</v>
      </c>
      <c r="B1127" s="2">
        <v>44839.424305555556</v>
      </c>
      <c r="C1127" s="1" t="s">
        <v>37</v>
      </c>
      <c r="D1127" s="1" t="s">
        <v>47</v>
      </c>
      <c r="E1127" s="1" t="s">
        <v>536</v>
      </c>
      <c r="F1127" s="1" t="s">
        <v>77</v>
      </c>
      <c r="G1127" s="1" t="s">
        <v>77</v>
      </c>
      <c r="H1127" s="1" t="s">
        <v>77</v>
      </c>
      <c r="I1127" s="1" t="s">
        <v>77</v>
      </c>
      <c r="J1127" s="1" t="s">
        <v>77</v>
      </c>
      <c r="K1127" s="1" t="s">
        <v>77</v>
      </c>
      <c r="L1127">
        <v>20221005101058</v>
      </c>
      <c r="M1127" s="1" t="s">
        <v>1606</v>
      </c>
      <c r="N1127" s="1" t="s">
        <v>24</v>
      </c>
      <c r="O1127">
        <v>10</v>
      </c>
      <c r="P1127" s="3">
        <v>44839</v>
      </c>
      <c r="Q1127">
        <v>40</v>
      </c>
    </row>
    <row r="1128" spans="1:17" x14ac:dyDescent="0.3">
      <c r="A1128" s="1" t="s">
        <v>1607</v>
      </c>
      <c r="B1128" s="2">
        <v>44839.424305555556</v>
      </c>
      <c r="C1128" s="1" t="s">
        <v>37</v>
      </c>
      <c r="D1128" s="1" t="s">
        <v>53</v>
      </c>
      <c r="E1128" s="1" t="s">
        <v>56</v>
      </c>
      <c r="F1128" s="1" t="s">
        <v>77</v>
      </c>
      <c r="G1128" s="1" t="s">
        <v>77</v>
      </c>
      <c r="H1128" s="1" t="s">
        <v>77</v>
      </c>
      <c r="I1128" s="1" t="s">
        <v>77</v>
      </c>
      <c r="J1128" s="1" t="s">
        <v>77</v>
      </c>
      <c r="K1128" s="1" t="s">
        <v>77</v>
      </c>
      <c r="L1128">
        <v>20221005101116</v>
      </c>
      <c r="M1128" s="1" t="s">
        <v>1608</v>
      </c>
      <c r="N1128" s="1" t="s">
        <v>24</v>
      </c>
      <c r="O1128">
        <v>10</v>
      </c>
      <c r="P1128" s="3">
        <v>44839</v>
      </c>
      <c r="Q1128">
        <v>40</v>
      </c>
    </row>
    <row r="1129" spans="1:17" x14ac:dyDescent="0.3">
      <c r="A1129" s="1" t="s">
        <v>1607</v>
      </c>
      <c r="B1129" s="2">
        <v>44839.424305555556</v>
      </c>
      <c r="C1129" s="1" t="s">
        <v>37</v>
      </c>
      <c r="D1129" s="1" t="s">
        <v>19</v>
      </c>
      <c r="E1129" s="1" t="s">
        <v>58</v>
      </c>
      <c r="F1129" s="1" t="s">
        <v>77</v>
      </c>
      <c r="G1129" s="1" t="s">
        <v>77</v>
      </c>
      <c r="H1129" s="1" t="s">
        <v>77</v>
      </c>
      <c r="I1129" s="1" t="s">
        <v>77</v>
      </c>
      <c r="J1129" s="1" t="s">
        <v>77</v>
      </c>
      <c r="K1129" s="1" t="s">
        <v>77</v>
      </c>
      <c r="L1129">
        <v>20221005101128</v>
      </c>
      <c r="M1129" s="1" t="s">
        <v>1609</v>
      </c>
      <c r="N1129" s="1" t="s">
        <v>24</v>
      </c>
      <c r="O1129">
        <v>10</v>
      </c>
      <c r="P1129" s="3">
        <v>44839</v>
      </c>
      <c r="Q1129">
        <v>40</v>
      </c>
    </row>
    <row r="1130" spans="1:17" x14ac:dyDescent="0.3">
      <c r="A1130" s="1" t="s">
        <v>1607</v>
      </c>
      <c r="B1130" s="2">
        <v>44839.424305555556</v>
      </c>
      <c r="C1130" s="1" t="s">
        <v>37</v>
      </c>
      <c r="D1130" s="1" t="s">
        <v>60</v>
      </c>
      <c r="E1130" s="1" t="s">
        <v>61</v>
      </c>
      <c r="F1130" s="1" t="s">
        <v>77</v>
      </c>
      <c r="G1130" s="1" t="s">
        <v>77</v>
      </c>
      <c r="H1130" s="1" t="s">
        <v>77</v>
      </c>
      <c r="I1130" s="1" t="s">
        <v>77</v>
      </c>
      <c r="J1130" s="1" t="s">
        <v>77</v>
      </c>
      <c r="K1130" s="1" t="s">
        <v>77</v>
      </c>
      <c r="L1130">
        <v>20221005101135</v>
      </c>
      <c r="M1130" s="1" t="s">
        <v>1610</v>
      </c>
      <c r="N1130" s="1" t="s">
        <v>24</v>
      </c>
      <c r="O1130">
        <v>10</v>
      </c>
      <c r="P1130" s="3">
        <v>44839</v>
      </c>
      <c r="Q1130">
        <v>40</v>
      </c>
    </row>
    <row r="1131" spans="1:17" x14ac:dyDescent="0.3">
      <c r="A1131" s="1" t="s">
        <v>1607</v>
      </c>
      <c r="B1131" s="2">
        <v>44839.424305555556</v>
      </c>
      <c r="C1131" s="1" t="s">
        <v>18</v>
      </c>
      <c r="D1131" s="1" t="s">
        <v>29</v>
      </c>
      <c r="E1131" s="1" t="s">
        <v>20</v>
      </c>
      <c r="F1131" s="1" t="s">
        <v>77</v>
      </c>
      <c r="G1131" s="1" t="s">
        <v>77</v>
      </c>
      <c r="H1131" s="1" t="s">
        <v>77</v>
      </c>
      <c r="I1131" s="1" t="s">
        <v>77</v>
      </c>
      <c r="J1131" s="1" t="s">
        <v>30</v>
      </c>
      <c r="K1131" s="1" t="s">
        <v>175</v>
      </c>
      <c r="L1131">
        <v>20221005101155</v>
      </c>
      <c r="M1131" s="1" t="s">
        <v>1611</v>
      </c>
      <c r="N1131" s="1" t="s">
        <v>24</v>
      </c>
      <c r="O1131">
        <v>10</v>
      </c>
      <c r="P1131" s="3">
        <v>44839</v>
      </c>
      <c r="Q1131">
        <v>40</v>
      </c>
    </row>
    <row r="1132" spans="1:17" x14ac:dyDescent="0.3">
      <c r="A1132" s="1" t="s">
        <v>1612</v>
      </c>
      <c r="B1132" s="2">
        <v>44839.425000000003</v>
      </c>
      <c r="C1132" s="1" t="s">
        <v>18</v>
      </c>
      <c r="D1132" s="1" t="s">
        <v>29</v>
      </c>
      <c r="E1132" s="1" t="s">
        <v>20</v>
      </c>
      <c r="F1132" s="1" t="s">
        <v>77</v>
      </c>
      <c r="G1132" s="1" t="s">
        <v>77</v>
      </c>
      <c r="H1132" s="1" t="s">
        <v>77</v>
      </c>
      <c r="I1132" s="1" t="s">
        <v>77</v>
      </c>
      <c r="J1132" s="1" t="s">
        <v>554</v>
      </c>
      <c r="K1132" s="1" t="s">
        <v>175</v>
      </c>
      <c r="L1132">
        <v>20221005101202</v>
      </c>
      <c r="M1132" s="1" t="s">
        <v>1613</v>
      </c>
      <c r="N1132" s="1" t="s">
        <v>24</v>
      </c>
      <c r="O1132">
        <v>10</v>
      </c>
      <c r="P1132" s="3">
        <v>44839</v>
      </c>
      <c r="Q1132">
        <v>40</v>
      </c>
    </row>
    <row r="1133" spans="1:17" x14ac:dyDescent="0.3">
      <c r="A1133" s="1" t="s">
        <v>1612</v>
      </c>
      <c r="B1133" s="2">
        <v>44839.425000000003</v>
      </c>
      <c r="C1133" s="1" t="s">
        <v>434</v>
      </c>
      <c r="D1133" s="1" t="s">
        <v>53</v>
      </c>
      <c r="E1133" s="1" t="s">
        <v>77</v>
      </c>
      <c r="F1133" s="1" t="s">
        <v>77</v>
      </c>
      <c r="G1133" s="1" t="s">
        <v>77</v>
      </c>
      <c r="H1133" s="1" t="s">
        <v>54</v>
      </c>
      <c r="I1133" s="1" t="s">
        <v>435</v>
      </c>
      <c r="J1133" s="1" t="s">
        <v>77</v>
      </c>
      <c r="K1133" s="1" t="s">
        <v>77</v>
      </c>
      <c r="L1133">
        <v>20221005101208</v>
      </c>
      <c r="M1133" s="1" t="s">
        <v>1614</v>
      </c>
      <c r="N1133" s="1" t="s">
        <v>24</v>
      </c>
      <c r="O1133">
        <v>10</v>
      </c>
      <c r="P1133" s="3">
        <v>44839</v>
      </c>
      <c r="Q1133">
        <v>40</v>
      </c>
    </row>
    <row r="1134" spans="1:17" x14ac:dyDescent="0.3">
      <c r="A1134" s="1" t="s">
        <v>1615</v>
      </c>
      <c r="B1134" s="2">
        <v>44840.380555555559</v>
      </c>
      <c r="C1134" s="1" t="s">
        <v>37</v>
      </c>
      <c r="D1134" s="1" t="s">
        <v>26</v>
      </c>
      <c r="E1134" s="1" t="s">
        <v>27</v>
      </c>
      <c r="F1134" s="1" t="s">
        <v>77</v>
      </c>
      <c r="G1134" s="1" t="s">
        <v>77</v>
      </c>
      <c r="H1134" s="1" t="s">
        <v>77</v>
      </c>
      <c r="I1134" s="1" t="s">
        <v>77</v>
      </c>
      <c r="J1134" s="1" t="s">
        <v>77</v>
      </c>
      <c r="K1134" s="1" t="s">
        <v>77</v>
      </c>
      <c r="L1134">
        <v>20221006090759</v>
      </c>
      <c r="M1134" s="1" t="s">
        <v>1616</v>
      </c>
      <c r="N1134" s="1" t="s">
        <v>65</v>
      </c>
      <c r="O1134">
        <v>10</v>
      </c>
      <c r="P1134" s="3">
        <v>44840</v>
      </c>
      <c r="Q1134">
        <v>40</v>
      </c>
    </row>
    <row r="1135" spans="1:17" x14ac:dyDescent="0.3">
      <c r="A1135" s="1" t="s">
        <v>1617</v>
      </c>
      <c r="B1135" s="2">
        <v>44840.380555555559</v>
      </c>
      <c r="C1135" s="1" t="s">
        <v>37</v>
      </c>
      <c r="D1135" s="1" t="s">
        <v>195</v>
      </c>
      <c r="E1135" s="1" t="s">
        <v>21</v>
      </c>
      <c r="F1135" s="1" t="s">
        <v>77</v>
      </c>
      <c r="G1135" s="1" t="s">
        <v>77</v>
      </c>
      <c r="H1135" s="1" t="s">
        <v>77</v>
      </c>
      <c r="I1135" s="1" t="s">
        <v>77</v>
      </c>
      <c r="J1135" s="1" t="s">
        <v>77</v>
      </c>
      <c r="K1135" s="1" t="s">
        <v>77</v>
      </c>
      <c r="L1135">
        <v>20221006090807</v>
      </c>
      <c r="M1135" s="1" t="s">
        <v>1618</v>
      </c>
      <c r="N1135" s="1" t="s">
        <v>65</v>
      </c>
      <c r="O1135">
        <v>10</v>
      </c>
      <c r="P1135" s="3">
        <v>44840</v>
      </c>
      <c r="Q1135">
        <v>40</v>
      </c>
    </row>
    <row r="1136" spans="1:17" x14ac:dyDescent="0.3">
      <c r="A1136" s="1" t="s">
        <v>1617</v>
      </c>
      <c r="B1136" s="2">
        <v>44840.380555555559</v>
      </c>
      <c r="C1136" s="1" t="s">
        <v>37</v>
      </c>
      <c r="D1136" s="1" t="s">
        <v>38</v>
      </c>
      <c r="E1136" s="1" t="s">
        <v>39</v>
      </c>
      <c r="F1136" s="1" t="s">
        <v>77</v>
      </c>
      <c r="G1136" s="1" t="s">
        <v>77</v>
      </c>
      <c r="H1136" s="1" t="s">
        <v>77</v>
      </c>
      <c r="I1136" s="1" t="s">
        <v>77</v>
      </c>
      <c r="J1136" s="1" t="s">
        <v>77</v>
      </c>
      <c r="K1136" s="1" t="s">
        <v>77</v>
      </c>
      <c r="L1136">
        <v>20221006090813</v>
      </c>
      <c r="M1136" s="1" t="s">
        <v>1619</v>
      </c>
      <c r="N1136" s="1" t="s">
        <v>65</v>
      </c>
      <c r="O1136">
        <v>10</v>
      </c>
      <c r="P1136" s="3">
        <v>44840</v>
      </c>
      <c r="Q1136">
        <v>40</v>
      </c>
    </row>
    <row r="1137" spans="1:17" x14ac:dyDescent="0.3">
      <c r="A1137" s="1" t="s">
        <v>1617</v>
      </c>
      <c r="B1137" s="2">
        <v>44840.380555555559</v>
      </c>
      <c r="C1137" s="1" t="s">
        <v>37</v>
      </c>
      <c r="D1137" s="1" t="s">
        <v>41</v>
      </c>
      <c r="E1137" s="1" t="s">
        <v>42</v>
      </c>
      <c r="F1137" s="1" t="s">
        <v>77</v>
      </c>
      <c r="G1137" s="1" t="s">
        <v>77</v>
      </c>
      <c r="H1137" s="1" t="s">
        <v>77</v>
      </c>
      <c r="I1137" s="1" t="s">
        <v>77</v>
      </c>
      <c r="J1137" s="1" t="s">
        <v>77</v>
      </c>
      <c r="K1137" s="1" t="s">
        <v>77</v>
      </c>
      <c r="L1137">
        <v>20221006090819</v>
      </c>
      <c r="M1137" s="1" t="s">
        <v>1620</v>
      </c>
      <c r="N1137" s="1" t="s">
        <v>65</v>
      </c>
      <c r="O1137">
        <v>10</v>
      </c>
      <c r="P1137" s="3">
        <v>44840</v>
      </c>
      <c r="Q1137">
        <v>40</v>
      </c>
    </row>
    <row r="1138" spans="1:17" x14ac:dyDescent="0.3">
      <c r="A1138" s="1" t="s">
        <v>1617</v>
      </c>
      <c r="B1138" s="2">
        <v>44840.380555555559</v>
      </c>
      <c r="C1138" s="1" t="s">
        <v>37</v>
      </c>
      <c r="D1138" s="1" t="s">
        <v>44</v>
      </c>
      <c r="E1138" s="1" t="s">
        <v>45</v>
      </c>
      <c r="F1138" s="1" t="s">
        <v>77</v>
      </c>
      <c r="G1138" s="1" t="s">
        <v>77</v>
      </c>
      <c r="H1138" s="1" t="s">
        <v>77</v>
      </c>
      <c r="I1138" s="1" t="s">
        <v>77</v>
      </c>
      <c r="J1138" s="1" t="s">
        <v>77</v>
      </c>
      <c r="K1138" s="1" t="s">
        <v>77</v>
      </c>
      <c r="L1138">
        <v>20221006090830</v>
      </c>
      <c r="M1138" s="1" t="s">
        <v>1621</v>
      </c>
      <c r="N1138" s="1" t="s">
        <v>65</v>
      </c>
      <c r="O1138">
        <v>10</v>
      </c>
      <c r="P1138" s="3">
        <v>44840</v>
      </c>
      <c r="Q1138">
        <v>40</v>
      </c>
    </row>
    <row r="1139" spans="1:17" x14ac:dyDescent="0.3">
      <c r="A1139" s="1" t="s">
        <v>1617</v>
      </c>
      <c r="B1139" s="2">
        <v>44840.380555555559</v>
      </c>
      <c r="C1139" s="1" t="s">
        <v>37</v>
      </c>
      <c r="D1139" s="1" t="s">
        <v>47</v>
      </c>
      <c r="E1139" s="1" t="s">
        <v>51</v>
      </c>
      <c r="F1139" s="1" t="s">
        <v>77</v>
      </c>
      <c r="G1139" s="1" t="s">
        <v>77</v>
      </c>
      <c r="H1139" s="1" t="s">
        <v>77</v>
      </c>
      <c r="I1139" s="1" t="s">
        <v>77</v>
      </c>
      <c r="J1139" s="1" t="s">
        <v>77</v>
      </c>
      <c r="K1139" s="1" t="s">
        <v>77</v>
      </c>
      <c r="L1139">
        <v>20221006090837</v>
      </c>
      <c r="M1139" s="1" t="s">
        <v>1622</v>
      </c>
      <c r="N1139" s="1" t="s">
        <v>65</v>
      </c>
      <c r="O1139">
        <v>10</v>
      </c>
      <c r="P1139" s="3">
        <v>44840</v>
      </c>
      <c r="Q1139">
        <v>40</v>
      </c>
    </row>
    <row r="1140" spans="1:17" x14ac:dyDescent="0.3">
      <c r="A1140" s="1" t="s">
        <v>1617</v>
      </c>
      <c r="B1140" s="2">
        <v>44840.380555555559</v>
      </c>
      <c r="C1140" s="1" t="s">
        <v>37</v>
      </c>
      <c r="D1140" s="1" t="s">
        <v>47</v>
      </c>
      <c r="E1140" s="1" t="s">
        <v>536</v>
      </c>
      <c r="F1140" s="1" t="s">
        <v>77</v>
      </c>
      <c r="G1140" s="1" t="s">
        <v>77</v>
      </c>
      <c r="H1140" s="1" t="s">
        <v>77</v>
      </c>
      <c r="I1140" s="1" t="s">
        <v>77</v>
      </c>
      <c r="J1140" s="1" t="s">
        <v>77</v>
      </c>
      <c r="K1140" s="1" t="s">
        <v>77</v>
      </c>
      <c r="L1140">
        <v>20221006090845</v>
      </c>
      <c r="M1140" s="1" t="s">
        <v>1623</v>
      </c>
      <c r="N1140" s="1" t="s">
        <v>65</v>
      </c>
      <c r="O1140">
        <v>10</v>
      </c>
      <c r="P1140" s="3">
        <v>44840</v>
      </c>
      <c r="Q1140">
        <v>40</v>
      </c>
    </row>
    <row r="1141" spans="1:17" x14ac:dyDescent="0.3">
      <c r="A1141" s="1" t="s">
        <v>1617</v>
      </c>
      <c r="B1141" s="2">
        <v>44840.380555555559</v>
      </c>
      <c r="C1141" s="1" t="s">
        <v>37</v>
      </c>
      <c r="D1141" s="1" t="s">
        <v>53</v>
      </c>
      <c r="E1141" s="1" t="s">
        <v>56</v>
      </c>
      <c r="F1141" s="1" t="s">
        <v>77</v>
      </c>
      <c r="G1141" s="1" t="s">
        <v>77</v>
      </c>
      <c r="H1141" s="1" t="s">
        <v>77</v>
      </c>
      <c r="I1141" s="1" t="s">
        <v>77</v>
      </c>
      <c r="J1141" s="1" t="s">
        <v>77</v>
      </c>
      <c r="K1141" s="1" t="s">
        <v>77</v>
      </c>
      <c r="L1141">
        <v>20221006090851</v>
      </c>
      <c r="M1141" s="1" t="s">
        <v>1624</v>
      </c>
      <c r="N1141" s="1" t="s">
        <v>65</v>
      </c>
      <c r="O1141">
        <v>10</v>
      </c>
      <c r="P1141" s="3">
        <v>44840</v>
      </c>
      <c r="Q1141">
        <v>40</v>
      </c>
    </row>
    <row r="1142" spans="1:17" x14ac:dyDescent="0.3">
      <c r="A1142" s="1" t="s">
        <v>1617</v>
      </c>
      <c r="B1142" s="2">
        <v>44840.381249999999</v>
      </c>
      <c r="C1142" s="1" t="s">
        <v>37</v>
      </c>
      <c r="D1142" s="1" t="s">
        <v>19</v>
      </c>
      <c r="E1142" s="1" t="s">
        <v>58</v>
      </c>
      <c r="F1142" s="1" t="s">
        <v>77</v>
      </c>
      <c r="G1142" s="1" t="s">
        <v>77</v>
      </c>
      <c r="H1142" s="1" t="s">
        <v>77</v>
      </c>
      <c r="I1142" s="1" t="s">
        <v>77</v>
      </c>
      <c r="J1142" s="1" t="s">
        <v>77</v>
      </c>
      <c r="K1142" s="1" t="s">
        <v>77</v>
      </c>
      <c r="L1142">
        <v>20221006090858</v>
      </c>
      <c r="M1142" s="1" t="s">
        <v>1625</v>
      </c>
      <c r="N1142" s="1" t="s">
        <v>65</v>
      </c>
      <c r="O1142">
        <v>10</v>
      </c>
      <c r="P1142" s="3">
        <v>44840</v>
      </c>
      <c r="Q1142">
        <v>40</v>
      </c>
    </row>
    <row r="1143" spans="1:17" x14ac:dyDescent="0.3">
      <c r="A1143" s="1" t="s">
        <v>1626</v>
      </c>
      <c r="B1143" s="2">
        <v>44840.381249999999</v>
      </c>
      <c r="C1143" s="1" t="s">
        <v>37</v>
      </c>
      <c r="D1143" s="1" t="s">
        <v>60</v>
      </c>
      <c r="E1143" s="1" t="s">
        <v>61</v>
      </c>
      <c r="F1143" s="1" t="s">
        <v>77</v>
      </c>
      <c r="G1143" s="1" t="s">
        <v>77</v>
      </c>
      <c r="H1143" s="1" t="s">
        <v>77</v>
      </c>
      <c r="I1143" s="1" t="s">
        <v>77</v>
      </c>
      <c r="J1143" s="1" t="s">
        <v>77</v>
      </c>
      <c r="K1143" s="1" t="s">
        <v>77</v>
      </c>
      <c r="L1143">
        <v>20221006090904</v>
      </c>
      <c r="M1143" s="1" t="s">
        <v>1627</v>
      </c>
      <c r="N1143" s="1" t="s">
        <v>65</v>
      </c>
      <c r="O1143">
        <v>10</v>
      </c>
      <c r="P1143" s="3">
        <v>44840</v>
      </c>
      <c r="Q1143">
        <v>40</v>
      </c>
    </row>
    <row r="1144" spans="1:17" x14ac:dyDescent="0.3">
      <c r="A1144" s="1" t="s">
        <v>1626</v>
      </c>
      <c r="B1144" s="2">
        <v>44840.381249999999</v>
      </c>
      <c r="C1144" s="1" t="s">
        <v>37</v>
      </c>
      <c r="D1144" s="1" t="s">
        <v>29</v>
      </c>
      <c r="E1144" s="1" t="s">
        <v>30</v>
      </c>
      <c r="F1144" s="1" t="s">
        <v>77</v>
      </c>
      <c r="G1144" s="1" t="s">
        <v>77</v>
      </c>
      <c r="H1144" s="1" t="s">
        <v>77</v>
      </c>
      <c r="I1144" s="1" t="s">
        <v>77</v>
      </c>
      <c r="J1144" s="1" t="s">
        <v>77</v>
      </c>
      <c r="K1144" s="1" t="s">
        <v>77</v>
      </c>
      <c r="L1144">
        <v>20221006090911</v>
      </c>
      <c r="M1144" s="1" t="s">
        <v>1628</v>
      </c>
      <c r="N1144" s="1" t="s">
        <v>65</v>
      </c>
      <c r="O1144">
        <v>10</v>
      </c>
      <c r="P1144" s="3">
        <v>44840</v>
      </c>
      <c r="Q1144">
        <v>40</v>
      </c>
    </row>
    <row r="1145" spans="1:17" x14ac:dyDescent="0.3">
      <c r="A1145" s="1" t="s">
        <v>1626</v>
      </c>
      <c r="B1145" s="2">
        <v>44840.381249999999</v>
      </c>
      <c r="C1145" s="1" t="s">
        <v>37</v>
      </c>
      <c r="D1145" s="1" t="s">
        <v>29</v>
      </c>
      <c r="E1145" s="1" t="s">
        <v>554</v>
      </c>
      <c r="F1145" s="1" t="s">
        <v>77</v>
      </c>
      <c r="G1145" s="1" t="s">
        <v>77</v>
      </c>
      <c r="H1145" s="1" t="s">
        <v>77</v>
      </c>
      <c r="I1145" s="1" t="s">
        <v>77</v>
      </c>
      <c r="J1145" s="1" t="s">
        <v>77</v>
      </c>
      <c r="K1145" s="1" t="s">
        <v>77</v>
      </c>
      <c r="L1145">
        <v>20221006090917</v>
      </c>
      <c r="M1145" s="1" t="s">
        <v>1629</v>
      </c>
      <c r="N1145" s="1" t="s">
        <v>65</v>
      </c>
      <c r="O1145">
        <v>10</v>
      </c>
      <c r="P1145" s="3">
        <v>44840</v>
      </c>
      <c r="Q1145">
        <v>40</v>
      </c>
    </row>
    <row r="1146" spans="1:17" x14ac:dyDescent="0.3">
      <c r="A1146" s="1" t="s">
        <v>1626</v>
      </c>
      <c r="B1146" s="2">
        <v>44840.381249999999</v>
      </c>
      <c r="C1146" s="1" t="s">
        <v>434</v>
      </c>
      <c r="D1146" s="1" t="s">
        <v>53</v>
      </c>
      <c r="E1146" s="1" t="s">
        <v>77</v>
      </c>
      <c r="F1146" s="1" t="s">
        <v>77</v>
      </c>
      <c r="G1146" s="1" t="s">
        <v>77</v>
      </c>
      <c r="H1146" s="1" t="s">
        <v>54</v>
      </c>
      <c r="I1146" s="1" t="s">
        <v>435</v>
      </c>
      <c r="J1146" s="1" t="s">
        <v>77</v>
      </c>
      <c r="K1146" s="1" t="s">
        <v>77</v>
      </c>
      <c r="L1146">
        <v>20221006090923</v>
      </c>
      <c r="M1146" s="1" t="s">
        <v>1630</v>
      </c>
      <c r="N1146" s="1" t="s">
        <v>65</v>
      </c>
      <c r="O1146">
        <v>10</v>
      </c>
      <c r="P1146" s="3">
        <v>44840</v>
      </c>
      <c r="Q1146">
        <v>40</v>
      </c>
    </row>
    <row r="1147" spans="1:17" x14ac:dyDescent="0.3">
      <c r="A1147" s="1" t="s">
        <v>1631</v>
      </c>
      <c r="B1147" s="2">
        <v>44842.59097222222</v>
      </c>
      <c r="C1147" s="1" t="s">
        <v>37</v>
      </c>
      <c r="D1147" s="1" t="s">
        <v>26</v>
      </c>
      <c r="E1147" s="1" t="s">
        <v>27</v>
      </c>
      <c r="F1147" s="1" t="s">
        <v>77</v>
      </c>
      <c r="G1147" s="1" t="s">
        <v>77</v>
      </c>
      <c r="H1147" s="1" t="s">
        <v>77</v>
      </c>
      <c r="I1147" s="1" t="s">
        <v>77</v>
      </c>
      <c r="J1147" s="1" t="s">
        <v>77</v>
      </c>
      <c r="K1147" s="1" t="s">
        <v>77</v>
      </c>
      <c r="L1147">
        <v>20221008141105</v>
      </c>
      <c r="M1147" s="1" t="s">
        <v>1632</v>
      </c>
      <c r="N1147" s="1" t="s">
        <v>101</v>
      </c>
      <c r="O1147">
        <v>10</v>
      </c>
      <c r="P1147" s="3">
        <v>44842</v>
      </c>
      <c r="Q1147">
        <v>40</v>
      </c>
    </row>
    <row r="1148" spans="1:17" x14ac:dyDescent="0.3">
      <c r="A1148" s="1" t="s">
        <v>1631</v>
      </c>
      <c r="B1148" s="2">
        <v>44842.59097222222</v>
      </c>
      <c r="C1148" s="1" t="s">
        <v>37</v>
      </c>
      <c r="D1148" s="1" t="s">
        <v>195</v>
      </c>
      <c r="E1148" s="1" t="s">
        <v>21</v>
      </c>
      <c r="F1148" s="1" t="s">
        <v>77</v>
      </c>
      <c r="G1148" s="1" t="s">
        <v>77</v>
      </c>
      <c r="H1148" s="1" t="s">
        <v>77</v>
      </c>
      <c r="I1148" s="1" t="s">
        <v>77</v>
      </c>
      <c r="J1148" s="1" t="s">
        <v>77</v>
      </c>
      <c r="K1148" s="1" t="s">
        <v>77</v>
      </c>
      <c r="L1148">
        <v>20221008141149</v>
      </c>
      <c r="M1148" s="1" t="s">
        <v>1633</v>
      </c>
      <c r="N1148" s="1" t="s">
        <v>101</v>
      </c>
      <c r="O1148">
        <v>10</v>
      </c>
      <c r="P1148" s="3">
        <v>44842</v>
      </c>
      <c r="Q1148">
        <v>40</v>
      </c>
    </row>
    <row r="1149" spans="1:17" x14ac:dyDescent="0.3">
      <c r="A1149" s="1" t="s">
        <v>1631</v>
      </c>
      <c r="B1149" s="2">
        <v>44842.591666666667</v>
      </c>
      <c r="C1149" s="1" t="s">
        <v>37</v>
      </c>
      <c r="D1149" s="1" t="s">
        <v>38</v>
      </c>
      <c r="E1149" s="1" t="s">
        <v>39</v>
      </c>
      <c r="F1149" s="1" t="s">
        <v>77</v>
      </c>
      <c r="G1149" s="1" t="s">
        <v>77</v>
      </c>
      <c r="H1149" s="1" t="s">
        <v>77</v>
      </c>
      <c r="I1149" s="1" t="s">
        <v>77</v>
      </c>
      <c r="J1149" s="1" t="s">
        <v>77</v>
      </c>
      <c r="K1149" s="1" t="s">
        <v>77</v>
      </c>
      <c r="L1149">
        <v>20221008141157</v>
      </c>
      <c r="M1149" s="1" t="s">
        <v>1634</v>
      </c>
      <c r="N1149" s="1" t="s">
        <v>101</v>
      </c>
      <c r="O1149">
        <v>10</v>
      </c>
      <c r="P1149" s="3">
        <v>44842</v>
      </c>
      <c r="Q1149">
        <v>40</v>
      </c>
    </row>
    <row r="1150" spans="1:17" x14ac:dyDescent="0.3">
      <c r="A1150" s="1" t="s">
        <v>1635</v>
      </c>
      <c r="B1150" s="2">
        <v>44842.591666666667</v>
      </c>
      <c r="C1150" s="1" t="s">
        <v>37</v>
      </c>
      <c r="D1150" s="1" t="s">
        <v>41</v>
      </c>
      <c r="E1150" s="1" t="s">
        <v>42</v>
      </c>
      <c r="F1150" s="1" t="s">
        <v>77</v>
      </c>
      <c r="G1150" s="1" t="s">
        <v>77</v>
      </c>
      <c r="H1150" s="1" t="s">
        <v>77</v>
      </c>
      <c r="I1150" s="1" t="s">
        <v>77</v>
      </c>
      <c r="J1150" s="1" t="s">
        <v>77</v>
      </c>
      <c r="K1150" s="1" t="s">
        <v>77</v>
      </c>
      <c r="L1150">
        <v>20221008141208</v>
      </c>
      <c r="M1150" s="1" t="s">
        <v>1636</v>
      </c>
      <c r="N1150" s="1" t="s">
        <v>101</v>
      </c>
      <c r="O1150">
        <v>10</v>
      </c>
      <c r="P1150" s="3">
        <v>44842</v>
      </c>
      <c r="Q1150">
        <v>40</v>
      </c>
    </row>
    <row r="1151" spans="1:17" x14ac:dyDescent="0.3">
      <c r="A1151" s="1" t="s">
        <v>1635</v>
      </c>
      <c r="B1151" s="2">
        <v>44842.591666666667</v>
      </c>
      <c r="C1151" s="1" t="s">
        <v>37</v>
      </c>
      <c r="D1151" s="1" t="s">
        <v>44</v>
      </c>
      <c r="E1151" s="1" t="s">
        <v>45</v>
      </c>
      <c r="F1151" s="1" t="s">
        <v>77</v>
      </c>
      <c r="G1151" s="1" t="s">
        <v>77</v>
      </c>
      <c r="H1151" s="1" t="s">
        <v>77</v>
      </c>
      <c r="I1151" s="1" t="s">
        <v>77</v>
      </c>
      <c r="J1151" s="1" t="s">
        <v>77</v>
      </c>
      <c r="K1151" s="1" t="s">
        <v>77</v>
      </c>
      <c r="L1151">
        <v>20221008141216</v>
      </c>
      <c r="M1151" s="1" t="s">
        <v>1637</v>
      </c>
      <c r="N1151" s="1" t="s">
        <v>101</v>
      </c>
      <c r="O1151">
        <v>10</v>
      </c>
      <c r="P1151" s="3">
        <v>44842</v>
      </c>
      <c r="Q1151">
        <v>40</v>
      </c>
    </row>
    <row r="1152" spans="1:17" x14ac:dyDescent="0.3">
      <c r="A1152" s="1" t="s">
        <v>1635</v>
      </c>
      <c r="B1152" s="2">
        <v>44842.591666666667</v>
      </c>
      <c r="C1152" s="1" t="s">
        <v>37</v>
      </c>
      <c r="D1152" s="1" t="s">
        <v>47</v>
      </c>
      <c r="E1152" s="1" t="s">
        <v>51</v>
      </c>
      <c r="F1152" s="1" t="s">
        <v>77</v>
      </c>
      <c r="G1152" s="1" t="s">
        <v>77</v>
      </c>
      <c r="H1152" s="1" t="s">
        <v>77</v>
      </c>
      <c r="I1152" s="1" t="s">
        <v>77</v>
      </c>
      <c r="J1152" s="1" t="s">
        <v>77</v>
      </c>
      <c r="K1152" s="1" t="s">
        <v>77</v>
      </c>
      <c r="L1152">
        <v>20221008141240</v>
      </c>
      <c r="M1152" s="1" t="s">
        <v>1638</v>
      </c>
      <c r="N1152" s="1" t="s">
        <v>101</v>
      </c>
      <c r="O1152">
        <v>10</v>
      </c>
      <c r="P1152" s="3">
        <v>44842</v>
      </c>
      <c r="Q1152">
        <v>40</v>
      </c>
    </row>
    <row r="1153" spans="1:17" x14ac:dyDescent="0.3">
      <c r="A1153" s="1" t="s">
        <v>1635</v>
      </c>
      <c r="B1153" s="2">
        <v>44842.591666666667</v>
      </c>
      <c r="C1153" s="1" t="s">
        <v>37</v>
      </c>
      <c r="D1153" s="1" t="s">
        <v>47</v>
      </c>
      <c r="E1153" s="1" t="s">
        <v>536</v>
      </c>
      <c r="F1153" s="1" t="s">
        <v>77</v>
      </c>
      <c r="G1153" s="1" t="s">
        <v>77</v>
      </c>
      <c r="H1153" s="1" t="s">
        <v>77</v>
      </c>
      <c r="I1153" s="1" t="s">
        <v>77</v>
      </c>
      <c r="J1153" s="1" t="s">
        <v>77</v>
      </c>
      <c r="K1153" s="1" t="s">
        <v>77</v>
      </c>
      <c r="L1153">
        <v>20221008141249</v>
      </c>
      <c r="M1153" s="1" t="s">
        <v>1639</v>
      </c>
      <c r="N1153" s="1" t="s">
        <v>101</v>
      </c>
      <c r="O1153">
        <v>10</v>
      </c>
      <c r="P1153" s="3">
        <v>44842</v>
      </c>
      <c r="Q1153">
        <v>40</v>
      </c>
    </row>
    <row r="1154" spans="1:17" x14ac:dyDescent="0.3">
      <c r="A1154" s="1" t="s">
        <v>1635</v>
      </c>
      <c r="B1154" s="2">
        <v>44842.592361111114</v>
      </c>
      <c r="C1154" s="1" t="s">
        <v>37</v>
      </c>
      <c r="D1154" s="1" t="s">
        <v>53</v>
      </c>
      <c r="E1154" s="1" t="s">
        <v>56</v>
      </c>
      <c r="F1154" s="1" t="s">
        <v>77</v>
      </c>
      <c r="G1154" s="1" t="s">
        <v>77</v>
      </c>
      <c r="H1154" s="1" t="s">
        <v>77</v>
      </c>
      <c r="I1154" s="1" t="s">
        <v>77</v>
      </c>
      <c r="J1154" s="1" t="s">
        <v>77</v>
      </c>
      <c r="K1154" s="1" t="s">
        <v>77</v>
      </c>
      <c r="L1154">
        <v>20221008141256</v>
      </c>
      <c r="M1154" s="1" t="s">
        <v>1640</v>
      </c>
      <c r="N1154" s="1" t="s">
        <v>101</v>
      </c>
      <c r="O1154">
        <v>10</v>
      </c>
      <c r="P1154" s="3">
        <v>44842</v>
      </c>
      <c r="Q1154">
        <v>40</v>
      </c>
    </row>
    <row r="1155" spans="1:17" x14ac:dyDescent="0.3">
      <c r="A1155" s="1" t="s">
        <v>1641</v>
      </c>
      <c r="B1155" s="2">
        <v>44842.592361111114</v>
      </c>
      <c r="C1155" s="1" t="s">
        <v>37</v>
      </c>
      <c r="D1155" s="1" t="s">
        <v>60</v>
      </c>
      <c r="E1155" s="1" t="s">
        <v>61</v>
      </c>
      <c r="F1155" s="1" t="s">
        <v>77</v>
      </c>
      <c r="G1155" s="1" t="s">
        <v>77</v>
      </c>
      <c r="H1155" s="1" t="s">
        <v>77</v>
      </c>
      <c r="I1155" s="1" t="s">
        <v>77</v>
      </c>
      <c r="J1155" s="1" t="s">
        <v>77</v>
      </c>
      <c r="K1155" s="1" t="s">
        <v>77</v>
      </c>
      <c r="L1155">
        <v>20221008141306</v>
      </c>
      <c r="M1155" s="1" t="s">
        <v>1642</v>
      </c>
      <c r="N1155" s="1" t="s">
        <v>101</v>
      </c>
      <c r="O1155">
        <v>10</v>
      </c>
      <c r="P1155" s="3">
        <v>44842</v>
      </c>
      <c r="Q1155">
        <v>40</v>
      </c>
    </row>
    <row r="1156" spans="1:17" x14ac:dyDescent="0.3">
      <c r="A1156" s="1" t="s">
        <v>1641</v>
      </c>
      <c r="B1156" s="2">
        <v>44842.592361111114</v>
      </c>
      <c r="C1156" s="1" t="s">
        <v>434</v>
      </c>
      <c r="D1156" s="1" t="s">
        <v>53</v>
      </c>
      <c r="E1156" s="1" t="s">
        <v>77</v>
      </c>
      <c r="F1156" s="1" t="s">
        <v>77</v>
      </c>
      <c r="G1156" s="1" t="s">
        <v>77</v>
      </c>
      <c r="H1156" s="1" t="s">
        <v>54</v>
      </c>
      <c r="I1156" s="1" t="s">
        <v>435</v>
      </c>
      <c r="J1156" s="1" t="s">
        <v>77</v>
      </c>
      <c r="K1156" s="1" t="s">
        <v>77</v>
      </c>
      <c r="L1156">
        <v>20221008141314</v>
      </c>
      <c r="M1156" s="1" t="s">
        <v>1643</v>
      </c>
      <c r="N1156" s="1" t="s">
        <v>101</v>
      </c>
      <c r="O1156">
        <v>10</v>
      </c>
      <c r="P1156" s="3">
        <v>44842</v>
      </c>
      <c r="Q1156">
        <v>40</v>
      </c>
    </row>
    <row r="1157" spans="1:17" x14ac:dyDescent="0.3">
      <c r="A1157" s="1" t="s">
        <v>1641</v>
      </c>
      <c r="B1157" s="2">
        <v>44842.592361111114</v>
      </c>
      <c r="C1157" s="1" t="s">
        <v>18</v>
      </c>
      <c r="D1157" s="1" t="s">
        <v>19</v>
      </c>
      <c r="E1157" s="1" t="s">
        <v>77</v>
      </c>
      <c r="F1157" s="1" t="s">
        <v>77</v>
      </c>
      <c r="G1157" s="1" t="s">
        <v>77</v>
      </c>
      <c r="H1157" s="1" t="s">
        <v>77</v>
      </c>
      <c r="I1157" s="1" t="s">
        <v>77</v>
      </c>
      <c r="J1157" s="1" t="s">
        <v>58</v>
      </c>
      <c r="K1157" s="1" t="s">
        <v>309</v>
      </c>
      <c r="L1157">
        <v>20221008141328</v>
      </c>
      <c r="M1157" s="1" t="s">
        <v>1644</v>
      </c>
      <c r="N1157" s="1" t="s">
        <v>101</v>
      </c>
      <c r="O1157">
        <v>10</v>
      </c>
      <c r="P1157" s="3">
        <v>44842</v>
      </c>
      <c r="Q1157">
        <v>40</v>
      </c>
    </row>
    <row r="1158" spans="1:17" x14ac:dyDescent="0.3">
      <c r="A1158" s="1" t="s">
        <v>1641</v>
      </c>
      <c r="B1158" s="2">
        <v>44842.592361111114</v>
      </c>
      <c r="C1158" s="1" t="s">
        <v>18</v>
      </c>
      <c r="D1158" s="1" t="s">
        <v>29</v>
      </c>
      <c r="E1158" s="1" t="s">
        <v>77</v>
      </c>
      <c r="F1158" s="1" t="s">
        <v>77</v>
      </c>
      <c r="G1158" s="1" t="s">
        <v>77</v>
      </c>
      <c r="H1158" s="1" t="s">
        <v>77</v>
      </c>
      <c r="I1158" s="1" t="s">
        <v>77</v>
      </c>
      <c r="J1158" s="1" t="s">
        <v>30</v>
      </c>
      <c r="K1158" s="1" t="s">
        <v>523</v>
      </c>
      <c r="L1158">
        <v>20221008141338</v>
      </c>
      <c r="M1158" s="1" t="s">
        <v>1645</v>
      </c>
      <c r="N1158" s="1" t="s">
        <v>101</v>
      </c>
      <c r="O1158">
        <v>10</v>
      </c>
      <c r="P1158" s="3">
        <v>44842</v>
      </c>
      <c r="Q1158">
        <v>40</v>
      </c>
    </row>
    <row r="1159" spans="1:17" x14ac:dyDescent="0.3">
      <c r="A1159" s="1" t="s">
        <v>1641</v>
      </c>
      <c r="B1159" s="2">
        <v>44842.592361111114</v>
      </c>
      <c r="C1159" s="1" t="s">
        <v>18</v>
      </c>
      <c r="D1159" s="1" t="s">
        <v>29</v>
      </c>
      <c r="E1159" s="1" t="s">
        <v>77</v>
      </c>
      <c r="F1159" s="1" t="s">
        <v>77</v>
      </c>
      <c r="G1159" s="1" t="s">
        <v>77</v>
      </c>
      <c r="H1159" s="1" t="s">
        <v>77</v>
      </c>
      <c r="I1159" s="1" t="s">
        <v>77</v>
      </c>
      <c r="J1159" s="1" t="s">
        <v>554</v>
      </c>
      <c r="K1159" s="1" t="s">
        <v>523</v>
      </c>
      <c r="L1159">
        <v>20221008141349</v>
      </c>
      <c r="M1159" s="1" t="s">
        <v>1646</v>
      </c>
      <c r="N1159" s="1" t="s">
        <v>101</v>
      </c>
      <c r="O1159">
        <v>10</v>
      </c>
      <c r="P1159" s="3">
        <v>44842</v>
      </c>
      <c r="Q1159">
        <v>40</v>
      </c>
    </row>
    <row r="1160" spans="1:17" x14ac:dyDescent="0.3">
      <c r="A1160" s="1" t="s">
        <v>1647</v>
      </c>
      <c r="B1160" s="2">
        <v>44845.348611111112</v>
      </c>
      <c r="C1160" s="1" t="s">
        <v>37</v>
      </c>
      <c r="D1160" s="1" t="s">
        <v>26</v>
      </c>
      <c r="E1160" s="1" t="s">
        <v>27</v>
      </c>
      <c r="F1160" s="1" t="s">
        <v>77</v>
      </c>
      <c r="G1160" s="1" t="s">
        <v>77</v>
      </c>
      <c r="H1160" s="1" t="s">
        <v>77</v>
      </c>
      <c r="I1160" s="1" t="s">
        <v>77</v>
      </c>
      <c r="J1160" s="1" t="s">
        <v>77</v>
      </c>
      <c r="K1160" s="1" t="s">
        <v>77</v>
      </c>
      <c r="L1160">
        <v>20221011082214</v>
      </c>
      <c r="M1160" s="1" t="s">
        <v>1648</v>
      </c>
      <c r="N1160" s="1" t="s">
        <v>140</v>
      </c>
      <c r="O1160">
        <v>10</v>
      </c>
      <c r="P1160" s="3">
        <v>44845</v>
      </c>
      <c r="Q1160">
        <v>41</v>
      </c>
    </row>
    <row r="1161" spans="1:17" x14ac:dyDescent="0.3">
      <c r="A1161" s="1" t="s">
        <v>1647</v>
      </c>
      <c r="B1161" s="2">
        <v>44845.348611111112</v>
      </c>
      <c r="C1161" s="1" t="s">
        <v>37</v>
      </c>
      <c r="D1161" s="1" t="s">
        <v>195</v>
      </c>
      <c r="E1161" s="1" t="s">
        <v>21</v>
      </c>
      <c r="F1161" s="1" t="s">
        <v>77</v>
      </c>
      <c r="G1161" s="1" t="s">
        <v>77</v>
      </c>
      <c r="H1161" s="1" t="s">
        <v>77</v>
      </c>
      <c r="I1161" s="1" t="s">
        <v>77</v>
      </c>
      <c r="J1161" s="1" t="s">
        <v>77</v>
      </c>
      <c r="K1161" s="1" t="s">
        <v>77</v>
      </c>
      <c r="L1161">
        <v>20221011082220</v>
      </c>
      <c r="M1161" s="1" t="s">
        <v>1649</v>
      </c>
      <c r="N1161" s="1" t="s">
        <v>140</v>
      </c>
      <c r="O1161">
        <v>10</v>
      </c>
      <c r="P1161" s="3">
        <v>44845</v>
      </c>
      <c r="Q1161">
        <v>41</v>
      </c>
    </row>
    <row r="1162" spans="1:17" x14ac:dyDescent="0.3">
      <c r="A1162" s="1" t="s">
        <v>1647</v>
      </c>
      <c r="B1162" s="2">
        <v>44845.348611111112</v>
      </c>
      <c r="C1162" s="1" t="s">
        <v>37</v>
      </c>
      <c r="D1162" s="1" t="s">
        <v>38</v>
      </c>
      <c r="E1162" s="1" t="s">
        <v>39</v>
      </c>
      <c r="F1162" s="1" t="s">
        <v>77</v>
      </c>
      <c r="G1162" s="1" t="s">
        <v>77</v>
      </c>
      <c r="H1162" s="1" t="s">
        <v>77</v>
      </c>
      <c r="I1162" s="1" t="s">
        <v>77</v>
      </c>
      <c r="J1162" s="1" t="s">
        <v>77</v>
      </c>
      <c r="K1162" s="1" t="s">
        <v>77</v>
      </c>
      <c r="L1162">
        <v>20221011082227</v>
      </c>
      <c r="M1162" s="1" t="s">
        <v>1650</v>
      </c>
      <c r="N1162" s="1" t="s">
        <v>140</v>
      </c>
      <c r="O1162">
        <v>10</v>
      </c>
      <c r="P1162" s="3">
        <v>44845</v>
      </c>
      <c r="Q1162">
        <v>41</v>
      </c>
    </row>
    <row r="1163" spans="1:17" x14ac:dyDescent="0.3">
      <c r="A1163" s="1" t="s">
        <v>1647</v>
      </c>
      <c r="B1163" s="2">
        <v>44845.349305555559</v>
      </c>
      <c r="C1163" s="1" t="s">
        <v>37</v>
      </c>
      <c r="D1163" s="1" t="s">
        <v>41</v>
      </c>
      <c r="E1163" s="1" t="s">
        <v>42</v>
      </c>
      <c r="F1163" s="1" t="s">
        <v>77</v>
      </c>
      <c r="G1163" s="1" t="s">
        <v>77</v>
      </c>
      <c r="H1163" s="1" t="s">
        <v>77</v>
      </c>
      <c r="I1163" s="1" t="s">
        <v>77</v>
      </c>
      <c r="J1163" s="1" t="s">
        <v>77</v>
      </c>
      <c r="K1163" s="1" t="s">
        <v>77</v>
      </c>
      <c r="L1163">
        <v>20221011082258</v>
      </c>
      <c r="M1163" s="1" t="s">
        <v>1651</v>
      </c>
      <c r="N1163" s="1" t="s">
        <v>140</v>
      </c>
      <c r="O1163">
        <v>10</v>
      </c>
      <c r="P1163" s="3">
        <v>44845</v>
      </c>
      <c r="Q1163">
        <v>41</v>
      </c>
    </row>
    <row r="1164" spans="1:17" x14ac:dyDescent="0.3">
      <c r="A1164" s="1" t="s">
        <v>1652</v>
      </c>
      <c r="B1164" s="2">
        <v>44845.349305555559</v>
      </c>
      <c r="C1164" s="1" t="s">
        <v>37</v>
      </c>
      <c r="D1164" s="1" t="s">
        <v>44</v>
      </c>
      <c r="E1164" s="1" t="s">
        <v>45</v>
      </c>
      <c r="F1164" s="1" t="s">
        <v>77</v>
      </c>
      <c r="G1164" s="1" t="s">
        <v>77</v>
      </c>
      <c r="H1164" s="1" t="s">
        <v>77</v>
      </c>
      <c r="I1164" s="1" t="s">
        <v>77</v>
      </c>
      <c r="J1164" s="1" t="s">
        <v>77</v>
      </c>
      <c r="K1164" s="1" t="s">
        <v>77</v>
      </c>
      <c r="L1164">
        <v>20221011082305</v>
      </c>
      <c r="M1164" s="1" t="s">
        <v>1653</v>
      </c>
      <c r="N1164" s="1" t="s">
        <v>140</v>
      </c>
      <c r="O1164">
        <v>10</v>
      </c>
      <c r="P1164" s="3">
        <v>44845</v>
      </c>
      <c r="Q1164">
        <v>41</v>
      </c>
    </row>
    <row r="1165" spans="1:17" x14ac:dyDescent="0.3">
      <c r="A1165" s="1" t="s">
        <v>1652</v>
      </c>
      <c r="B1165" s="2">
        <v>44845.349305555559</v>
      </c>
      <c r="C1165" s="1" t="s">
        <v>37</v>
      </c>
      <c r="D1165" s="1" t="s">
        <v>47</v>
      </c>
      <c r="E1165" s="1" t="s">
        <v>51</v>
      </c>
      <c r="F1165" s="1" t="s">
        <v>77</v>
      </c>
      <c r="G1165" s="1" t="s">
        <v>77</v>
      </c>
      <c r="H1165" s="1" t="s">
        <v>77</v>
      </c>
      <c r="I1165" s="1" t="s">
        <v>77</v>
      </c>
      <c r="J1165" s="1" t="s">
        <v>77</v>
      </c>
      <c r="K1165" s="1" t="s">
        <v>77</v>
      </c>
      <c r="L1165">
        <v>20221011082312</v>
      </c>
      <c r="M1165" s="1" t="s">
        <v>1654</v>
      </c>
      <c r="N1165" s="1" t="s">
        <v>140</v>
      </c>
      <c r="O1165">
        <v>10</v>
      </c>
      <c r="P1165" s="3">
        <v>44845</v>
      </c>
      <c r="Q1165">
        <v>41</v>
      </c>
    </row>
    <row r="1166" spans="1:17" x14ac:dyDescent="0.3">
      <c r="A1166" s="1" t="s">
        <v>1652</v>
      </c>
      <c r="B1166" s="2">
        <v>44845.349305555559</v>
      </c>
      <c r="C1166" s="1" t="s">
        <v>37</v>
      </c>
      <c r="D1166" s="1" t="s">
        <v>47</v>
      </c>
      <c r="E1166" s="1" t="s">
        <v>536</v>
      </c>
      <c r="F1166" s="1" t="s">
        <v>77</v>
      </c>
      <c r="G1166" s="1" t="s">
        <v>77</v>
      </c>
      <c r="H1166" s="1" t="s">
        <v>77</v>
      </c>
      <c r="I1166" s="1" t="s">
        <v>77</v>
      </c>
      <c r="J1166" s="1" t="s">
        <v>77</v>
      </c>
      <c r="K1166" s="1" t="s">
        <v>77</v>
      </c>
      <c r="L1166">
        <v>20221011082321</v>
      </c>
      <c r="M1166" s="1" t="s">
        <v>1655</v>
      </c>
      <c r="N1166" s="1" t="s">
        <v>140</v>
      </c>
      <c r="O1166">
        <v>10</v>
      </c>
      <c r="P1166" s="3">
        <v>44845</v>
      </c>
      <c r="Q1166">
        <v>41</v>
      </c>
    </row>
    <row r="1167" spans="1:17" x14ac:dyDescent="0.3">
      <c r="A1167" s="1" t="s">
        <v>1652</v>
      </c>
      <c r="B1167" s="2">
        <v>44845.349305555559</v>
      </c>
      <c r="C1167" s="1" t="s">
        <v>37</v>
      </c>
      <c r="D1167" s="1" t="s">
        <v>53</v>
      </c>
      <c r="E1167" s="1" t="s">
        <v>54</v>
      </c>
      <c r="F1167" s="1" t="s">
        <v>77</v>
      </c>
      <c r="G1167" s="1" t="s">
        <v>77</v>
      </c>
      <c r="H1167" s="1" t="s">
        <v>77</v>
      </c>
      <c r="I1167" s="1" t="s">
        <v>77</v>
      </c>
      <c r="J1167" s="1" t="s">
        <v>77</v>
      </c>
      <c r="K1167" s="1" t="s">
        <v>77</v>
      </c>
      <c r="L1167">
        <v>20221011082328</v>
      </c>
      <c r="M1167" s="1" t="s">
        <v>1656</v>
      </c>
      <c r="N1167" s="1" t="s">
        <v>140</v>
      </c>
      <c r="O1167">
        <v>10</v>
      </c>
      <c r="P1167" s="3">
        <v>44845</v>
      </c>
      <c r="Q1167">
        <v>41</v>
      </c>
    </row>
    <row r="1168" spans="1:17" x14ac:dyDescent="0.3">
      <c r="A1168" s="1" t="s">
        <v>1652</v>
      </c>
      <c r="B1168" s="2">
        <v>44845.349305555559</v>
      </c>
      <c r="C1168" s="1" t="s">
        <v>37</v>
      </c>
      <c r="D1168" s="1" t="s">
        <v>53</v>
      </c>
      <c r="E1168" s="1" t="s">
        <v>56</v>
      </c>
      <c r="F1168" s="1" t="s">
        <v>77</v>
      </c>
      <c r="G1168" s="1" t="s">
        <v>77</v>
      </c>
      <c r="H1168" s="1" t="s">
        <v>77</v>
      </c>
      <c r="I1168" s="1" t="s">
        <v>77</v>
      </c>
      <c r="J1168" s="1" t="s">
        <v>77</v>
      </c>
      <c r="K1168" s="1" t="s">
        <v>77</v>
      </c>
      <c r="L1168">
        <v>20221011082334</v>
      </c>
      <c r="M1168" s="1" t="s">
        <v>1657</v>
      </c>
      <c r="N1168" s="1" t="s">
        <v>140</v>
      </c>
      <c r="O1168">
        <v>10</v>
      </c>
      <c r="P1168" s="3">
        <v>44845</v>
      </c>
      <c r="Q1168">
        <v>41</v>
      </c>
    </row>
    <row r="1169" spans="1:17" x14ac:dyDescent="0.3">
      <c r="A1169" s="1" t="s">
        <v>1652</v>
      </c>
      <c r="B1169" s="2">
        <v>44845.349305555559</v>
      </c>
      <c r="C1169" s="1" t="s">
        <v>37</v>
      </c>
      <c r="D1169" s="1" t="s">
        <v>19</v>
      </c>
      <c r="E1169" s="1" t="s">
        <v>58</v>
      </c>
      <c r="F1169" s="1" t="s">
        <v>77</v>
      </c>
      <c r="G1169" s="1" t="s">
        <v>77</v>
      </c>
      <c r="H1169" s="1" t="s">
        <v>77</v>
      </c>
      <c r="I1169" s="1" t="s">
        <v>77</v>
      </c>
      <c r="J1169" s="1" t="s">
        <v>77</v>
      </c>
      <c r="K1169" s="1" t="s">
        <v>77</v>
      </c>
      <c r="L1169">
        <v>20221011082340</v>
      </c>
      <c r="M1169" s="1" t="s">
        <v>1658</v>
      </c>
      <c r="N1169" s="1" t="s">
        <v>140</v>
      </c>
      <c r="O1169">
        <v>10</v>
      </c>
      <c r="P1169" s="3">
        <v>44845</v>
      </c>
      <c r="Q1169">
        <v>41</v>
      </c>
    </row>
    <row r="1170" spans="1:17" x14ac:dyDescent="0.3">
      <c r="A1170" s="1" t="s">
        <v>1652</v>
      </c>
      <c r="B1170" s="2">
        <v>44845.349305555559</v>
      </c>
      <c r="C1170" s="1" t="s">
        <v>37</v>
      </c>
      <c r="D1170" s="1" t="s">
        <v>29</v>
      </c>
      <c r="E1170" s="1" t="s">
        <v>30</v>
      </c>
      <c r="F1170" s="1" t="s">
        <v>77</v>
      </c>
      <c r="G1170" s="1" t="s">
        <v>77</v>
      </c>
      <c r="H1170" s="1" t="s">
        <v>77</v>
      </c>
      <c r="I1170" s="1" t="s">
        <v>77</v>
      </c>
      <c r="J1170" s="1" t="s">
        <v>77</v>
      </c>
      <c r="K1170" s="1" t="s">
        <v>77</v>
      </c>
      <c r="L1170">
        <v>20221011082347</v>
      </c>
      <c r="M1170" s="1" t="s">
        <v>1659</v>
      </c>
      <c r="N1170" s="1" t="s">
        <v>140</v>
      </c>
      <c r="O1170">
        <v>10</v>
      </c>
      <c r="P1170" s="3">
        <v>44845</v>
      </c>
      <c r="Q1170">
        <v>41</v>
      </c>
    </row>
    <row r="1171" spans="1:17" x14ac:dyDescent="0.3">
      <c r="A1171" s="1" t="s">
        <v>1652</v>
      </c>
      <c r="B1171" s="2">
        <v>44845.349305555559</v>
      </c>
      <c r="C1171" s="1" t="s">
        <v>18</v>
      </c>
      <c r="D1171" s="1" t="s">
        <v>29</v>
      </c>
      <c r="E1171" s="1" t="s">
        <v>20</v>
      </c>
      <c r="F1171" s="1" t="s">
        <v>77</v>
      </c>
      <c r="G1171" s="1" t="s">
        <v>77</v>
      </c>
      <c r="H1171" s="1" t="s">
        <v>77</v>
      </c>
      <c r="I1171" s="1" t="s">
        <v>77</v>
      </c>
      <c r="J1171" s="1" t="s">
        <v>554</v>
      </c>
      <c r="K1171" s="1" t="s">
        <v>171</v>
      </c>
      <c r="L1171">
        <v>20221011082355</v>
      </c>
      <c r="M1171" s="1" t="s">
        <v>1660</v>
      </c>
      <c r="N1171" s="1" t="s">
        <v>140</v>
      </c>
      <c r="O1171">
        <v>10</v>
      </c>
      <c r="P1171" s="3">
        <v>44845</v>
      </c>
      <c r="Q1171">
        <v>41</v>
      </c>
    </row>
    <row r="1172" spans="1:17" x14ac:dyDescent="0.3">
      <c r="A1172" s="1" t="s">
        <v>1661</v>
      </c>
      <c r="B1172" s="2">
        <v>44845.35</v>
      </c>
      <c r="C1172" s="1" t="s">
        <v>434</v>
      </c>
      <c r="D1172" s="1" t="s">
        <v>60</v>
      </c>
      <c r="E1172" s="1" t="s">
        <v>77</v>
      </c>
      <c r="F1172" s="1" t="s">
        <v>77</v>
      </c>
      <c r="G1172" s="1" t="s">
        <v>77</v>
      </c>
      <c r="H1172" s="1" t="s">
        <v>61</v>
      </c>
      <c r="I1172" s="1" t="s">
        <v>435</v>
      </c>
      <c r="J1172" s="1" t="s">
        <v>77</v>
      </c>
      <c r="K1172" s="1" t="s">
        <v>77</v>
      </c>
      <c r="L1172">
        <v>20221011082402</v>
      </c>
      <c r="M1172" s="1" t="s">
        <v>1662</v>
      </c>
      <c r="N1172" s="1" t="s">
        <v>140</v>
      </c>
      <c r="O1172">
        <v>10</v>
      </c>
      <c r="P1172" s="3">
        <v>44845</v>
      </c>
      <c r="Q1172">
        <v>41</v>
      </c>
    </row>
    <row r="1173" spans="1:17" x14ac:dyDescent="0.3">
      <c r="A1173" s="1" t="s">
        <v>1663</v>
      </c>
      <c r="B1173" s="2">
        <v>44846.381249999999</v>
      </c>
      <c r="C1173" s="1" t="s">
        <v>37</v>
      </c>
      <c r="D1173" s="1" t="s">
        <v>26</v>
      </c>
      <c r="E1173" s="1" t="s">
        <v>27</v>
      </c>
      <c r="F1173" s="1" t="s">
        <v>77</v>
      </c>
      <c r="G1173" s="1" t="s">
        <v>77</v>
      </c>
      <c r="H1173" s="1" t="s">
        <v>77</v>
      </c>
      <c r="I1173" s="1" t="s">
        <v>77</v>
      </c>
      <c r="J1173" s="1" t="s">
        <v>77</v>
      </c>
      <c r="K1173" s="1" t="s">
        <v>77</v>
      </c>
      <c r="L1173">
        <v>20221012090938</v>
      </c>
      <c r="M1173" s="1" t="s">
        <v>1664</v>
      </c>
      <c r="N1173" s="1" t="s">
        <v>24</v>
      </c>
      <c r="O1173">
        <v>10</v>
      </c>
      <c r="P1173" s="3">
        <v>44846</v>
      </c>
      <c r="Q1173">
        <v>41</v>
      </c>
    </row>
    <row r="1174" spans="1:17" x14ac:dyDescent="0.3">
      <c r="A1174" s="1" t="s">
        <v>1663</v>
      </c>
      <c r="B1174" s="2">
        <v>44846.381249999999</v>
      </c>
      <c r="C1174" s="1" t="s">
        <v>37</v>
      </c>
      <c r="D1174" s="1" t="s">
        <v>195</v>
      </c>
      <c r="E1174" s="1" t="s">
        <v>21</v>
      </c>
      <c r="F1174" s="1" t="s">
        <v>77</v>
      </c>
      <c r="G1174" s="1" t="s">
        <v>77</v>
      </c>
      <c r="H1174" s="1" t="s">
        <v>77</v>
      </c>
      <c r="I1174" s="1" t="s">
        <v>77</v>
      </c>
      <c r="J1174" s="1" t="s">
        <v>77</v>
      </c>
      <c r="K1174" s="1" t="s">
        <v>77</v>
      </c>
      <c r="L1174">
        <v>20221012090946</v>
      </c>
      <c r="M1174" s="1" t="s">
        <v>1665</v>
      </c>
      <c r="N1174" s="1" t="s">
        <v>24</v>
      </c>
      <c r="O1174">
        <v>10</v>
      </c>
      <c r="P1174" s="3">
        <v>44846</v>
      </c>
      <c r="Q1174">
        <v>41</v>
      </c>
    </row>
    <row r="1175" spans="1:17" x14ac:dyDescent="0.3">
      <c r="A1175" s="1" t="s">
        <v>1663</v>
      </c>
      <c r="B1175" s="2">
        <v>44846.381249999999</v>
      </c>
      <c r="C1175" s="1" t="s">
        <v>37</v>
      </c>
      <c r="D1175" s="1" t="s">
        <v>38</v>
      </c>
      <c r="E1175" s="1" t="s">
        <v>39</v>
      </c>
      <c r="F1175" s="1" t="s">
        <v>77</v>
      </c>
      <c r="G1175" s="1" t="s">
        <v>77</v>
      </c>
      <c r="H1175" s="1" t="s">
        <v>77</v>
      </c>
      <c r="I1175" s="1" t="s">
        <v>77</v>
      </c>
      <c r="J1175" s="1" t="s">
        <v>77</v>
      </c>
      <c r="K1175" s="1" t="s">
        <v>77</v>
      </c>
      <c r="L1175">
        <v>20221012090954</v>
      </c>
      <c r="M1175" s="1" t="s">
        <v>1666</v>
      </c>
      <c r="N1175" s="1" t="s">
        <v>24</v>
      </c>
      <c r="O1175">
        <v>10</v>
      </c>
      <c r="P1175" s="3">
        <v>44846</v>
      </c>
      <c r="Q1175">
        <v>41</v>
      </c>
    </row>
    <row r="1176" spans="1:17" x14ac:dyDescent="0.3">
      <c r="A1176" s="1" t="s">
        <v>1667</v>
      </c>
      <c r="B1176" s="2">
        <v>44846.381944444445</v>
      </c>
      <c r="C1176" s="1" t="s">
        <v>37</v>
      </c>
      <c r="D1176" s="1" t="s">
        <v>41</v>
      </c>
      <c r="E1176" s="1" t="s">
        <v>42</v>
      </c>
      <c r="F1176" s="1" t="s">
        <v>77</v>
      </c>
      <c r="G1176" s="1" t="s">
        <v>77</v>
      </c>
      <c r="H1176" s="1" t="s">
        <v>77</v>
      </c>
      <c r="I1176" s="1" t="s">
        <v>77</v>
      </c>
      <c r="J1176" s="1" t="s">
        <v>77</v>
      </c>
      <c r="K1176" s="1" t="s">
        <v>77</v>
      </c>
      <c r="L1176">
        <v>20221012091008</v>
      </c>
      <c r="M1176" s="1" t="s">
        <v>1668</v>
      </c>
      <c r="N1176" s="1" t="s">
        <v>24</v>
      </c>
      <c r="O1176">
        <v>10</v>
      </c>
      <c r="P1176" s="3">
        <v>44846</v>
      </c>
      <c r="Q1176">
        <v>41</v>
      </c>
    </row>
    <row r="1177" spans="1:17" x14ac:dyDescent="0.3">
      <c r="A1177" s="1" t="s">
        <v>1667</v>
      </c>
      <c r="B1177" s="2">
        <v>44846.381944444445</v>
      </c>
      <c r="C1177" s="1" t="s">
        <v>37</v>
      </c>
      <c r="D1177" s="1" t="s">
        <v>44</v>
      </c>
      <c r="E1177" s="1" t="s">
        <v>45</v>
      </c>
      <c r="F1177" s="1" t="s">
        <v>77</v>
      </c>
      <c r="G1177" s="1" t="s">
        <v>77</v>
      </c>
      <c r="H1177" s="1" t="s">
        <v>77</v>
      </c>
      <c r="I1177" s="1" t="s">
        <v>77</v>
      </c>
      <c r="J1177" s="1" t="s">
        <v>77</v>
      </c>
      <c r="K1177" s="1" t="s">
        <v>77</v>
      </c>
      <c r="L1177">
        <v>20221012091013</v>
      </c>
      <c r="M1177" s="1" t="s">
        <v>1669</v>
      </c>
      <c r="N1177" s="1" t="s">
        <v>24</v>
      </c>
      <c r="O1177">
        <v>10</v>
      </c>
      <c r="P1177" s="3">
        <v>44846</v>
      </c>
      <c r="Q1177">
        <v>41</v>
      </c>
    </row>
    <row r="1178" spans="1:17" x14ac:dyDescent="0.3">
      <c r="A1178" s="1" t="s">
        <v>1667</v>
      </c>
      <c r="B1178" s="2">
        <v>44846.381944444445</v>
      </c>
      <c r="C1178" s="1" t="s">
        <v>37</v>
      </c>
      <c r="D1178" s="1" t="s">
        <v>47</v>
      </c>
      <c r="E1178" s="1" t="s">
        <v>51</v>
      </c>
      <c r="F1178" s="1" t="s">
        <v>77</v>
      </c>
      <c r="G1178" s="1" t="s">
        <v>77</v>
      </c>
      <c r="H1178" s="1" t="s">
        <v>77</v>
      </c>
      <c r="I1178" s="1" t="s">
        <v>77</v>
      </c>
      <c r="J1178" s="1" t="s">
        <v>77</v>
      </c>
      <c r="K1178" s="1" t="s">
        <v>77</v>
      </c>
      <c r="L1178">
        <v>20221012091019</v>
      </c>
      <c r="M1178" s="1" t="s">
        <v>1670</v>
      </c>
      <c r="N1178" s="1" t="s">
        <v>24</v>
      </c>
      <c r="O1178">
        <v>10</v>
      </c>
      <c r="P1178" s="3">
        <v>44846</v>
      </c>
      <c r="Q1178">
        <v>41</v>
      </c>
    </row>
    <row r="1179" spans="1:17" x14ac:dyDescent="0.3">
      <c r="A1179" s="1" t="s">
        <v>1667</v>
      </c>
      <c r="B1179" s="2">
        <v>44846.381944444445</v>
      </c>
      <c r="C1179" s="1" t="s">
        <v>37</v>
      </c>
      <c r="D1179" s="1" t="s">
        <v>47</v>
      </c>
      <c r="E1179" s="1" t="s">
        <v>536</v>
      </c>
      <c r="F1179" s="1" t="s">
        <v>77</v>
      </c>
      <c r="G1179" s="1" t="s">
        <v>77</v>
      </c>
      <c r="H1179" s="1" t="s">
        <v>77</v>
      </c>
      <c r="I1179" s="1" t="s">
        <v>77</v>
      </c>
      <c r="J1179" s="1" t="s">
        <v>77</v>
      </c>
      <c r="K1179" s="1" t="s">
        <v>77</v>
      </c>
      <c r="L1179">
        <v>20221012091028</v>
      </c>
      <c r="M1179" s="1" t="s">
        <v>1671</v>
      </c>
      <c r="N1179" s="1" t="s">
        <v>24</v>
      </c>
      <c r="O1179">
        <v>10</v>
      </c>
      <c r="P1179" s="3">
        <v>44846</v>
      </c>
      <c r="Q1179">
        <v>41</v>
      </c>
    </row>
    <row r="1180" spans="1:17" x14ac:dyDescent="0.3">
      <c r="A1180" s="1" t="s">
        <v>1667</v>
      </c>
      <c r="B1180" s="2">
        <v>44846.381944444445</v>
      </c>
      <c r="C1180" s="1" t="s">
        <v>37</v>
      </c>
      <c r="D1180" s="1" t="s">
        <v>53</v>
      </c>
      <c r="E1180" s="1" t="s">
        <v>54</v>
      </c>
      <c r="F1180" s="1" t="s">
        <v>77</v>
      </c>
      <c r="G1180" s="1" t="s">
        <v>77</v>
      </c>
      <c r="H1180" s="1" t="s">
        <v>77</v>
      </c>
      <c r="I1180" s="1" t="s">
        <v>77</v>
      </c>
      <c r="J1180" s="1" t="s">
        <v>77</v>
      </c>
      <c r="K1180" s="1" t="s">
        <v>77</v>
      </c>
      <c r="L1180">
        <v>20221012091042</v>
      </c>
      <c r="M1180" s="1" t="s">
        <v>1672</v>
      </c>
      <c r="N1180" s="1" t="s">
        <v>24</v>
      </c>
      <c r="O1180">
        <v>10</v>
      </c>
      <c r="P1180" s="3">
        <v>44846</v>
      </c>
      <c r="Q1180">
        <v>41</v>
      </c>
    </row>
    <row r="1181" spans="1:17" x14ac:dyDescent="0.3">
      <c r="A1181" s="1" t="s">
        <v>1667</v>
      </c>
      <c r="B1181" s="2">
        <v>44846.381944444445</v>
      </c>
      <c r="C1181" s="1" t="s">
        <v>37</v>
      </c>
      <c r="D1181" s="1" t="s">
        <v>53</v>
      </c>
      <c r="E1181" s="1" t="s">
        <v>56</v>
      </c>
      <c r="F1181" s="1" t="s">
        <v>77</v>
      </c>
      <c r="G1181" s="1" t="s">
        <v>77</v>
      </c>
      <c r="H1181" s="1" t="s">
        <v>77</v>
      </c>
      <c r="I1181" s="1" t="s">
        <v>77</v>
      </c>
      <c r="J1181" s="1" t="s">
        <v>77</v>
      </c>
      <c r="K1181" s="1" t="s">
        <v>77</v>
      </c>
      <c r="L1181">
        <v>20221012091049</v>
      </c>
      <c r="M1181" s="1" t="s">
        <v>1673</v>
      </c>
      <c r="N1181" s="1" t="s">
        <v>24</v>
      </c>
      <c r="O1181">
        <v>10</v>
      </c>
      <c r="P1181" s="3">
        <v>44846</v>
      </c>
      <c r="Q1181">
        <v>41</v>
      </c>
    </row>
    <row r="1182" spans="1:17" x14ac:dyDescent="0.3">
      <c r="A1182" s="1" t="s">
        <v>1667</v>
      </c>
      <c r="B1182" s="2">
        <v>44846.381944444445</v>
      </c>
      <c r="C1182" s="1" t="s">
        <v>37</v>
      </c>
      <c r="D1182" s="1" t="s">
        <v>19</v>
      </c>
      <c r="E1182" s="1" t="s">
        <v>58</v>
      </c>
      <c r="F1182" s="1" t="s">
        <v>77</v>
      </c>
      <c r="G1182" s="1" t="s">
        <v>77</v>
      </c>
      <c r="H1182" s="1" t="s">
        <v>77</v>
      </c>
      <c r="I1182" s="1" t="s">
        <v>77</v>
      </c>
      <c r="J1182" s="1" t="s">
        <v>77</v>
      </c>
      <c r="K1182" s="1" t="s">
        <v>77</v>
      </c>
      <c r="L1182">
        <v>20221012091054</v>
      </c>
      <c r="M1182" s="1" t="s">
        <v>1674</v>
      </c>
      <c r="N1182" s="1" t="s">
        <v>24</v>
      </c>
      <c r="O1182">
        <v>10</v>
      </c>
      <c r="P1182" s="3">
        <v>44846</v>
      </c>
      <c r="Q1182">
        <v>41</v>
      </c>
    </row>
    <row r="1183" spans="1:17" x14ac:dyDescent="0.3">
      <c r="A1183" s="1" t="s">
        <v>1675</v>
      </c>
      <c r="B1183" s="2">
        <v>44846.382638888892</v>
      </c>
      <c r="C1183" s="1" t="s">
        <v>434</v>
      </c>
      <c r="D1183" s="1" t="s">
        <v>60</v>
      </c>
      <c r="E1183" s="1" t="s">
        <v>77</v>
      </c>
      <c r="F1183" s="1" t="s">
        <v>77</v>
      </c>
      <c r="G1183" s="1" t="s">
        <v>77</v>
      </c>
      <c r="H1183" s="1" t="s">
        <v>61</v>
      </c>
      <c r="I1183" s="1" t="s">
        <v>435</v>
      </c>
      <c r="J1183" s="1" t="s">
        <v>77</v>
      </c>
      <c r="K1183" s="1" t="s">
        <v>77</v>
      </c>
      <c r="L1183">
        <v>20221012091100</v>
      </c>
      <c r="M1183" s="1" t="s">
        <v>1676</v>
      </c>
      <c r="N1183" s="1" t="s">
        <v>24</v>
      </c>
      <c r="O1183">
        <v>10</v>
      </c>
      <c r="P1183" s="3">
        <v>44846</v>
      </c>
      <c r="Q1183">
        <v>41</v>
      </c>
    </row>
    <row r="1184" spans="1:17" x14ac:dyDescent="0.3">
      <c r="A1184" s="1" t="s">
        <v>1675</v>
      </c>
      <c r="B1184" s="2">
        <v>44846.382638888892</v>
      </c>
      <c r="C1184" s="1" t="s">
        <v>18</v>
      </c>
      <c r="D1184" s="1" t="s">
        <v>29</v>
      </c>
      <c r="E1184" s="1" t="s">
        <v>77</v>
      </c>
      <c r="F1184" s="1" t="s">
        <v>77</v>
      </c>
      <c r="G1184" s="1" t="s">
        <v>77</v>
      </c>
      <c r="H1184" s="1" t="s">
        <v>77</v>
      </c>
      <c r="I1184" s="1" t="s">
        <v>77</v>
      </c>
      <c r="J1184" s="1" t="s">
        <v>30</v>
      </c>
      <c r="K1184" s="1" t="s">
        <v>175</v>
      </c>
      <c r="L1184">
        <v>20221012091124</v>
      </c>
      <c r="M1184" s="1" t="s">
        <v>1677</v>
      </c>
      <c r="N1184" s="1" t="s">
        <v>24</v>
      </c>
      <c r="O1184">
        <v>10</v>
      </c>
      <c r="P1184" s="3">
        <v>44846</v>
      </c>
      <c r="Q1184">
        <v>41</v>
      </c>
    </row>
    <row r="1185" spans="1:17" x14ac:dyDescent="0.3">
      <c r="A1185" s="1" t="s">
        <v>1675</v>
      </c>
      <c r="B1185" s="2">
        <v>44846.382638888892</v>
      </c>
      <c r="C1185" s="1" t="s">
        <v>18</v>
      </c>
      <c r="D1185" s="1" t="s">
        <v>29</v>
      </c>
      <c r="E1185" s="1" t="s">
        <v>77</v>
      </c>
      <c r="F1185" s="1" t="s">
        <v>77</v>
      </c>
      <c r="G1185" s="1" t="s">
        <v>77</v>
      </c>
      <c r="H1185" s="1" t="s">
        <v>77</v>
      </c>
      <c r="I1185" s="1" t="s">
        <v>77</v>
      </c>
      <c r="J1185" s="1" t="s">
        <v>554</v>
      </c>
      <c r="K1185" s="1" t="s">
        <v>175</v>
      </c>
      <c r="L1185">
        <v>20221012091131</v>
      </c>
      <c r="M1185" s="1" t="s">
        <v>1678</v>
      </c>
      <c r="N1185" s="1" t="s">
        <v>24</v>
      </c>
      <c r="O1185">
        <v>10</v>
      </c>
      <c r="P1185" s="3">
        <v>44846</v>
      </c>
      <c r="Q1185">
        <v>41</v>
      </c>
    </row>
    <row r="1186" spans="1:17" x14ac:dyDescent="0.3">
      <c r="A1186" s="1" t="s">
        <v>1690</v>
      </c>
      <c r="B1186" s="2">
        <v>44847.412499999999</v>
      </c>
      <c r="C1186" s="1" t="s">
        <v>37</v>
      </c>
      <c r="D1186" s="1" t="s">
        <v>26</v>
      </c>
      <c r="E1186" s="1" t="s">
        <v>27</v>
      </c>
      <c r="F1186" s="1" t="s">
        <v>77</v>
      </c>
      <c r="G1186" s="1" t="s">
        <v>77</v>
      </c>
      <c r="H1186" s="1" t="s">
        <v>77</v>
      </c>
      <c r="I1186" s="1" t="s">
        <v>77</v>
      </c>
      <c r="J1186" s="1" t="s">
        <v>77</v>
      </c>
      <c r="K1186" s="1" t="s">
        <v>77</v>
      </c>
      <c r="L1186">
        <v>20221013095413</v>
      </c>
      <c r="M1186" s="1" t="s">
        <v>1691</v>
      </c>
      <c r="N1186" s="1" t="s">
        <v>65</v>
      </c>
      <c r="O1186">
        <v>10</v>
      </c>
      <c r="P1186" s="3">
        <v>44847</v>
      </c>
      <c r="Q1186">
        <v>41</v>
      </c>
    </row>
    <row r="1187" spans="1:17" x14ac:dyDescent="0.3">
      <c r="A1187" s="1" t="s">
        <v>1692</v>
      </c>
      <c r="B1187" s="2">
        <v>44847.413194444445</v>
      </c>
      <c r="C1187" s="1" t="s">
        <v>37</v>
      </c>
      <c r="D1187" s="1" t="s">
        <v>195</v>
      </c>
      <c r="E1187" s="1" t="s">
        <v>21</v>
      </c>
      <c r="F1187" s="1" t="s">
        <v>77</v>
      </c>
      <c r="G1187" s="1" t="s">
        <v>77</v>
      </c>
      <c r="H1187" s="1" t="s">
        <v>77</v>
      </c>
      <c r="I1187" s="1" t="s">
        <v>77</v>
      </c>
      <c r="J1187" s="1" t="s">
        <v>77</v>
      </c>
      <c r="K1187" s="1" t="s">
        <v>77</v>
      </c>
      <c r="L1187">
        <v>20221013095536</v>
      </c>
      <c r="M1187" s="1" t="s">
        <v>1693</v>
      </c>
      <c r="N1187" s="1" t="s">
        <v>65</v>
      </c>
      <c r="O1187">
        <v>10</v>
      </c>
      <c r="P1187" s="3">
        <v>44847</v>
      </c>
      <c r="Q1187">
        <v>41</v>
      </c>
    </row>
    <row r="1188" spans="1:17" x14ac:dyDescent="0.3">
      <c r="A1188" s="1" t="s">
        <v>1694</v>
      </c>
      <c r="B1188" s="2">
        <v>44847.413888888892</v>
      </c>
      <c r="C1188" s="1" t="s">
        <v>37</v>
      </c>
      <c r="D1188" s="1" t="s">
        <v>38</v>
      </c>
      <c r="E1188" s="1" t="s">
        <v>39</v>
      </c>
      <c r="F1188" s="1" t="s">
        <v>77</v>
      </c>
      <c r="G1188" s="1" t="s">
        <v>77</v>
      </c>
      <c r="H1188" s="1" t="s">
        <v>77</v>
      </c>
      <c r="I1188" s="1" t="s">
        <v>77</v>
      </c>
      <c r="J1188" s="1" t="s">
        <v>77</v>
      </c>
      <c r="K1188" s="1" t="s">
        <v>77</v>
      </c>
      <c r="L1188">
        <v>20221013095608</v>
      </c>
      <c r="M1188" s="1" t="s">
        <v>1695</v>
      </c>
      <c r="N1188" s="1" t="s">
        <v>65</v>
      </c>
      <c r="O1188">
        <v>10</v>
      </c>
      <c r="P1188" s="3">
        <v>44847</v>
      </c>
      <c r="Q1188">
        <v>41</v>
      </c>
    </row>
    <row r="1189" spans="1:17" x14ac:dyDescent="0.3">
      <c r="A1189" s="1" t="s">
        <v>1694</v>
      </c>
      <c r="B1189" s="2">
        <v>44847.413888888892</v>
      </c>
      <c r="C1189" s="1" t="s">
        <v>37</v>
      </c>
      <c r="D1189" s="1" t="s">
        <v>41</v>
      </c>
      <c r="E1189" s="1" t="s">
        <v>42</v>
      </c>
      <c r="F1189" s="1" t="s">
        <v>77</v>
      </c>
      <c r="G1189" s="1" t="s">
        <v>77</v>
      </c>
      <c r="H1189" s="1" t="s">
        <v>77</v>
      </c>
      <c r="I1189" s="1" t="s">
        <v>77</v>
      </c>
      <c r="J1189" s="1" t="s">
        <v>77</v>
      </c>
      <c r="K1189" s="1" t="s">
        <v>77</v>
      </c>
      <c r="L1189">
        <v>20221013095617</v>
      </c>
      <c r="M1189" s="1" t="s">
        <v>1696</v>
      </c>
      <c r="N1189" s="1" t="s">
        <v>65</v>
      </c>
      <c r="O1189">
        <v>10</v>
      </c>
      <c r="P1189" s="3">
        <v>44847</v>
      </c>
      <c r="Q1189">
        <v>41</v>
      </c>
    </row>
    <row r="1190" spans="1:17" x14ac:dyDescent="0.3">
      <c r="A1190" s="1" t="s">
        <v>1694</v>
      </c>
      <c r="B1190" s="2">
        <v>44847.413888888892</v>
      </c>
      <c r="C1190" s="1" t="s">
        <v>37</v>
      </c>
      <c r="D1190" s="1" t="s">
        <v>44</v>
      </c>
      <c r="E1190" s="1" t="s">
        <v>45</v>
      </c>
      <c r="F1190" s="1" t="s">
        <v>77</v>
      </c>
      <c r="G1190" s="1" t="s">
        <v>77</v>
      </c>
      <c r="H1190" s="1" t="s">
        <v>77</v>
      </c>
      <c r="I1190" s="1" t="s">
        <v>77</v>
      </c>
      <c r="J1190" s="1" t="s">
        <v>77</v>
      </c>
      <c r="K1190" s="1" t="s">
        <v>77</v>
      </c>
      <c r="L1190">
        <v>20221013095624</v>
      </c>
      <c r="M1190" s="1" t="s">
        <v>1697</v>
      </c>
      <c r="N1190" s="1" t="s">
        <v>65</v>
      </c>
      <c r="O1190">
        <v>10</v>
      </c>
      <c r="P1190" s="3">
        <v>44847</v>
      </c>
      <c r="Q1190">
        <v>41</v>
      </c>
    </row>
    <row r="1191" spans="1:17" x14ac:dyDescent="0.3">
      <c r="A1191" s="1" t="s">
        <v>1694</v>
      </c>
      <c r="B1191" s="2">
        <v>44847.413888888892</v>
      </c>
      <c r="C1191" s="1" t="s">
        <v>37</v>
      </c>
      <c r="D1191" s="1" t="s">
        <v>47</v>
      </c>
      <c r="E1191" s="1" t="s">
        <v>51</v>
      </c>
      <c r="F1191" s="1" t="s">
        <v>77</v>
      </c>
      <c r="G1191" s="1" t="s">
        <v>77</v>
      </c>
      <c r="H1191" s="1" t="s">
        <v>77</v>
      </c>
      <c r="I1191" s="1" t="s">
        <v>77</v>
      </c>
      <c r="J1191" s="1" t="s">
        <v>77</v>
      </c>
      <c r="K1191" s="1" t="s">
        <v>77</v>
      </c>
      <c r="L1191">
        <v>20221013095631</v>
      </c>
      <c r="M1191" s="1" t="s">
        <v>1698</v>
      </c>
      <c r="N1191" s="1" t="s">
        <v>65</v>
      </c>
      <c r="O1191">
        <v>10</v>
      </c>
      <c r="P1191" s="3">
        <v>44847</v>
      </c>
      <c r="Q1191">
        <v>41</v>
      </c>
    </row>
    <row r="1192" spans="1:17" x14ac:dyDescent="0.3">
      <c r="A1192" s="1" t="s">
        <v>1694</v>
      </c>
      <c r="B1192" s="2">
        <v>44847.413888888892</v>
      </c>
      <c r="C1192" s="1" t="s">
        <v>37</v>
      </c>
      <c r="D1192" s="1" t="s">
        <v>47</v>
      </c>
      <c r="E1192" s="1" t="s">
        <v>536</v>
      </c>
      <c r="F1192" s="1" t="s">
        <v>77</v>
      </c>
      <c r="G1192" s="1" t="s">
        <v>77</v>
      </c>
      <c r="H1192" s="1" t="s">
        <v>77</v>
      </c>
      <c r="I1192" s="1" t="s">
        <v>77</v>
      </c>
      <c r="J1192" s="1" t="s">
        <v>77</v>
      </c>
      <c r="K1192" s="1" t="s">
        <v>77</v>
      </c>
      <c r="L1192">
        <v>20221013095638</v>
      </c>
      <c r="M1192" s="1" t="s">
        <v>1699</v>
      </c>
      <c r="N1192" s="1" t="s">
        <v>65</v>
      </c>
      <c r="O1192">
        <v>10</v>
      </c>
      <c r="P1192" s="3">
        <v>44847</v>
      </c>
      <c r="Q1192">
        <v>41</v>
      </c>
    </row>
    <row r="1193" spans="1:17" x14ac:dyDescent="0.3">
      <c r="A1193" s="1" t="s">
        <v>1694</v>
      </c>
      <c r="B1193" s="2">
        <v>44847.413888888892</v>
      </c>
      <c r="C1193" s="1" t="s">
        <v>37</v>
      </c>
      <c r="D1193" s="1" t="s">
        <v>53</v>
      </c>
      <c r="E1193" s="1" t="s">
        <v>54</v>
      </c>
      <c r="F1193" s="1" t="s">
        <v>77</v>
      </c>
      <c r="G1193" s="1" t="s">
        <v>77</v>
      </c>
      <c r="H1193" s="1" t="s">
        <v>77</v>
      </c>
      <c r="I1193" s="1" t="s">
        <v>77</v>
      </c>
      <c r="J1193" s="1" t="s">
        <v>77</v>
      </c>
      <c r="K1193" s="1" t="s">
        <v>77</v>
      </c>
      <c r="L1193">
        <v>20221013095644</v>
      </c>
      <c r="M1193" s="1" t="s">
        <v>1700</v>
      </c>
      <c r="N1193" s="1" t="s">
        <v>65</v>
      </c>
      <c r="O1193">
        <v>10</v>
      </c>
      <c r="P1193" s="3">
        <v>44847</v>
      </c>
      <c r="Q1193">
        <v>41</v>
      </c>
    </row>
    <row r="1194" spans="1:17" x14ac:dyDescent="0.3">
      <c r="A1194" s="1" t="s">
        <v>1694</v>
      </c>
      <c r="B1194" s="2">
        <v>44847.413888888892</v>
      </c>
      <c r="C1194" s="1" t="s">
        <v>37</v>
      </c>
      <c r="D1194" s="1" t="s">
        <v>53</v>
      </c>
      <c r="E1194" s="1" t="s">
        <v>56</v>
      </c>
      <c r="F1194" s="1" t="s">
        <v>77</v>
      </c>
      <c r="G1194" s="1" t="s">
        <v>77</v>
      </c>
      <c r="H1194" s="1" t="s">
        <v>77</v>
      </c>
      <c r="I1194" s="1" t="s">
        <v>77</v>
      </c>
      <c r="J1194" s="1" t="s">
        <v>77</v>
      </c>
      <c r="K1194" s="1" t="s">
        <v>77</v>
      </c>
      <c r="L1194">
        <v>20221013095652</v>
      </c>
      <c r="M1194" s="1" t="s">
        <v>1701</v>
      </c>
      <c r="N1194" s="1" t="s">
        <v>65</v>
      </c>
      <c r="O1194">
        <v>10</v>
      </c>
      <c r="P1194" s="3">
        <v>44847</v>
      </c>
      <c r="Q1194">
        <v>41</v>
      </c>
    </row>
    <row r="1195" spans="1:17" x14ac:dyDescent="0.3">
      <c r="A1195" s="1" t="s">
        <v>1694</v>
      </c>
      <c r="B1195" s="2">
        <v>44847.414583333331</v>
      </c>
      <c r="C1195" s="1" t="s">
        <v>37</v>
      </c>
      <c r="D1195" s="1" t="s">
        <v>19</v>
      </c>
      <c r="E1195" s="1" t="s">
        <v>58</v>
      </c>
      <c r="F1195" s="1" t="s">
        <v>77</v>
      </c>
      <c r="G1195" s="1" t="s">
        <v>77</v>
      </c>
      <c r="H1195" s="1" t="s">
        <v>77</v>
      </c>
      <c r="I1195" s="1" t="s">
        <v>77</v>
      </c>
      <c r="J1195" s="1" t="s">
        <v>77</v>
      </c>
      <c r="K1195" s="1" t="s">
        <v>77</v>
      </c>
      <c r="L1195">
        <v>20221013095658</v>
      </c>
      <c r="M1195" s="1" t="s">
        <v>1702</v>
      </c>
      <c r="N1195" s="1" t="s">
        <v>65</v>
      </c>
      <c r="O1195">
        <v>10</v>
      </c>
      <c r="P1195" s="3">
        <v>44847</v>
      </c>
      <c r="Q1195">
        <v>41</v>
      </c>
    </row>
    <row r="1196" spans="1:17" x14ac:dyDescent="0.3">
      <c r="A1196" s="1" t="s">
        <v>1703</v>
      </c>
      <c r="B1196" s="2">
        <v>44847.414583333331</v>
      </c>
      <c r="C1196" s="1" t="s">
        <v>37</v>
      </c>
      <c r="D1196" s="1" t="s">
        <v>29</v>
      </c>
      <c r="E1196" s="1" t="s">
        <v>554</v>
      </c>
      <c r="F1196" s="1" t="s">
        <v>77</v>
      </c>
      <c r="G1196" s="1" t="s">
        <v>77</v>
      </c>
      <c r="H1196" s="1" t="s">
        <v>77</v>
      </c>
      <c r="I1196" s="1" t="s">
        <v>77</v>
      </c>
      <c r="J1196" s="1" t="s">
        <v>77</v>
      </c>
      <c r="K1196" s="1" t="s">
        <v>77</v>
      </c>
      <c r="L1196">
        <v>20221013095706</v>
      </c>
      <c r="M1196" s="1" t="s">
        <v>1704</v>
      </c>
      <c r="N1196" s="1" t="s">
        <v>65</v>
      </c>
      <c r="O1196">
        <v>10</v>
      </c>
      <c r="P1196" s="3">
        <v>44847</v>
      </c>
      <c r="Q1196">
        <v>41</v>
      </c>
    </row>
    <row r="1197" spans="1:17" x14ac:dyDescent="0.3">
      <c r="A1197" s="1" t="s">
        <v>1703</v>
      </c>
      <c r="B1197" s="2">
        <v>44847.414583333331</v>
      </c>
      <c r="C1197" s="1" t="s">
        <v>434</v>
      </c>
      <c r="D1197" s="1" t="s">
        <v>60</v>
      </c>
      <c r="E1197" s="1" t="s">
        <v>77</v>
      </c>
      <c r="F1197" s="1" t="s">
        <v>77</v>
      </c>
      <c r="G1197" s="1" t="s">
        <v>77</v>
      </c>
      <c r="H1197" s="1" t="s">
        <v>61</v>
      </c>
      <c r="I1197" s="1" t="s">
        <v>435</v>
      </c>
      <c r="J1197" s="1" t="s">
        <v>77</v>
      </c>
      <c r="K1197" s="1" t="s">
        <v>77</v>
      </c>
      <c r="L1197">
        <v>20221013095715</v>
      </c>
      <c r="M1197" s="1" t="s">
        <v>1705</v>
      </c>
      <c r="N1197" s="1" t="s">
        <v>65</v>
      </c>
      <c r="O1197">
        <v>10</v>
      </c>
      <c r="P1197" s="3">
        <v>44847</v>
      </c>
      <c r="Q1197">
        <v>41</v>
      </c>
    </row>
    <row r="1198" spans="1:17" x14ac:dyDescent="0.3">
      <c r="A1198" s="1" t="s">
        <v>1703</v>
      </c>
      <c r="B1198" s="2">
        <v>44847.414583333331</v>
      </c>
      <c r="C1198" s="1" t="s">
        <v>37</v>
      </c>
      <c r="D1198" s="1" t="s">
        <v>29</v>
      </c>
      <c r="E1198" s="1" t="s">
        <v>30</v>
      </c>
      <c r="F1198" s="1" t="s">
        <v>77</v>
      </c>
      <c r="G1198" s="1" t="s">
        <v>77</v>
      </c>
      <c r="H1198" s="1" t="s">
        <v>77</v>
      </c>
      <c r="I1198" s="1" t="s">
        <v>77</v>
      </c>
      <c r="J1198" s="1" t="s">
        <v>20</v>
      </c>
      <c r="K1198" s="1" t="s">
        <v>20</v>
      </c>
      <c r="L1198">
        <v>20221013095725</v>
      </c>
      <c r="M1198" s="1" t="s">
        <v>1706</v>
      </c>
      <c r="N1198" s="1" t="s">
        <v>65</v>
      </c>
      <c r="O1198">
        <v>10</v>
      </c>
      <c r="P1198" s="3">
        <v>44847</v>
      </c>
      <c r="Q1198">
        <v>41</v>
      </c>
    </row>
    <row r="1199" spans="1:17" x14ac:dyDescent="0.3">
      <c r="A1199" s="1" t="s">
        <v>1707</v>
      </c>
      <c r="B1199" s="2">
        <v>44848.40625</v>
      </c>
      <c r="C1199" s="1" t="s">
        <v>37</v>
      </c>
      <c r="D1199" s="1" t="s">
        <v>26</v>
      </c>
      <c r="E1199" s="1" t="s">
        <v>27</v>
      </c>
      <c r="F1199" s="1" t="s">
        <v>77</v>
      </c>
      <c r="G1199" s="1" t="s">
        <v>77</v>
      </c>
      <c r="H1199" s="1" t="s">
        <v>77</v>
      </c>
      <c r="I1199" s="1" t="s">
        <v>77</v>
      </c>
      <c r="J1199" s="1" t="s">
        <v>77</v>
      </c>
      <c r="K1199" s="1" t="s">
        <v>77</v>
      </c>
      <c r="L1199">
        <v>20221014094507</v>
      </c>
      <c r="M1199" s="1" t="s">
        <v>1708</v>
      </c>
      <c r="N1199" s="1" t="s">
        <v>84</v>
      </c>
      <c r="O1199">
        <v>10</v>
      </c>
      <c r="P1199" s="3">
        <v>44848</v>
      </c>
      <c r="Q1199">
        <v>41</v>
      </c>
    </row>
    <row r="1200" spans="1:17" x14ac:dyDescent="0.3">
      <c r="A1200" s="1" t="s">
        <v>1709</v>
      </c>
      <c r="B1200" s="2">
        <v>44848.407638888886</v>
      </c>
      <c r="C1200" s="1" t="s">
        <v>37</v>
      </c>
      <c r="D1200" s="1" t="s">
        <v>195</v>
      </c>
      <c r="E1200" s="1" t="s">
        <v>21</v>
      </c>
      <c r="F1200" s="1" t="s">
        <v>77</v>
      </c>
      <c r="G1200" s="1" t="s">
        <v>77</v>
      </c>
      <c r="H1200" s="1" t="s">
        <v>77</v>
      </c>
      <c r="I1200" s="1" t="s">
        <v>77</v>
      </c>
      <c r="J1200" s="1" t="s">
        <v>77</v>
      </c>
      <c r="K1200" s="1" t="s">
        <v>77</v>
      </c>
      <c r="L1200">
        <v>20221014094746</v>
      </c>
      <c r="M1200" s="1" t="s">
        <v>1710</v>
      </c>
      <c r="N1200" s="1" t="s">
        <v>84</v>
      </c>
      <c r="O1200">
        <v>10</v>
      </c>
      <c r="P1200" s="3">
        <v>44848</v>
      </c>
      <c r="Q1200">
        <v>41</v>
      </c>
    </row>
    <row r="1201" spans="1:17" x14ac:dyDescent="0.3">
      <c r="A1201" s="1" t="s">
        <v>1709</v>
      </c>
      <c r="B1201" s="2">
        <v>44848.408333333333</v>
      </c>
      <c r="C1201" s="1" t="s">
        <v>37</v>
      </c>
      <c r="D1201" s="1" t="s">
        <v>38</v>
      </c>
      <c r="E1201" s="1" t="s">
        <v>39</v>
      </c>
      <c r="F1201" s="1" t="s">
        <v>77</v>
      </c>
      <c r="G1201" s="1" t="s">
        <v>77</v>
      </c>
      <c r="H1201" s="1" t="s">
        <v>77</v>
      </c>
      <c r="I1201" s="1" t="s">
        <v>77</v>
      </c>
      <c r="J1201" s="1" t="s">
        <v>77</v>
      </c>
      <c r="K1201" s="1" t="s">
        <v>77</v>
      </c>
      <c r="L1201">
        <v>20221014094757</v>
      </c>
      <c r="M1201" s="1" t="s">
        <v>1711</v>
      </c>
      <c r="N1201" s="1" t="s">
        <v>84</v>
      </c>
      <c r="O1201">
        <v>10</v>
      </c>
      <c r="P1201" s="3">
        <v>44848</v>
      </c>
      <c r="Q1201">
        <v>41</v>
      </c>
    </row>
    <row r="1202" spans="1:17" x14ac:dyDescent="0.3">
      <c r="A1202" s="1" t="s">
        <v>1712</v>
      </c>
      <c r="B1202" s="2">
        <v>44848.408333333333</v>
      </c>
      <c r="C1202" s="1" t="s">
        <v>37</v>
      </c>
      <c r="D1202" s="1" t="s">
        <v>41</v>
      </c>
      <c r="E1202" s="1" t="s">
        <v>42</v>
      </c>
      <c r="F1202" s="1" t="s">
        <v>77</v>
      </c>
      <c r="G1202" s="1" t="s">
        <v>77</v>
      </c>
      <c r="H1202" s="1" t="s">
        <v>77</v>
      </c>
      <c r="I1202" s="1" t="s">
        <v>77</v>
      </c>
      <c r="J1202" s="1" t="s">
        <v>77</v>
      </c>
      <c r="K1202" s="1" t="s">
        <v>77</v>
      </c>
      <c r="L1202">
        <v>20221014094803</v>
      </c>
      <c r="M1202" s="1" t="s">
        <v>1713</v>
      </c>
      <c r="N1202" s="1" t="s">
        <v>84</v>
      </c>
      <c r="O1202">
        <v>10</v>
      </c>
      <c r="P1202" s="3">
        <v>44848</v>
      </c>
      <c r="Q1202">
        <v>41</v>
      </c>
    </row>
    <row r="1203" spans="1:17" x14ac:dyDescent="0.3">
      <c r="A1203" s="1" t="s">
        <v>1712</v>
      </c>
      <c r="B1203" s="2">
        <v>44848.408333333333</v>
      </c>
      <c r="C1203" s="1" t="s">
        <v>37</v>
      </c>
      <c r="D1203" s="1" t="s">
        <v>44</v>
      </c>
      <c r="E1203" s="1" t="s">
        <v>45</v>
      </c>
      <c r="F1203" s="1" t="s">
        <v>77</v>
      </c>
      <c r="G1203" s="1" t="s">
        <v>77</v>
      </c>
      <c r="H1203" s="1" t="s">
        <v>77</v>
      </c>
      <c r="I1203" s="1" t="s">
        <v>77</v>
      </c>
      <c r="J1203" s="1" t="s">
        <v>77</v>
      </c>
      <c r="K1203" s="1" t="s">
        <v>77</v>
      </c>
      <c r="L1203">
        <v>20221014094811</v>
      </c>
      <c r="M1203" s="1" t="s">
        <v>1714</v>
      </c>
      <c r="N1203" s="1" t="s">
        <v>84</v>
      </c>
      <c r="O1203">
        <v>10</v>
      </c>
      <c r="P1203" s="3">
        <v>44848</v>
      </c>
      <c r="Q1203">
        <v>41</v>
      </c>
    </row>
    <row r="1204" spans="1:17" x14ac:dyDescent="0.3">
      <c r="A1204" s="1" t="s">
        <v>1712</v>
      </c>
      <c r="B1204" s="2">
        <v>44848.408333333333</v>
      </c>
      <c r="C1204" s="1" t="s">
        <v>37</v>
      </c>
      <c r="D1204" s="1" t="s">
        <v>47</v>
      </c>
      <c r="E1204" s="1" t="s">
        <v>51</v>
      </c>
      <c r="F1204" s="1" t="s">
        <v>77</v>
      </c>
      <c r="G1204" s="1" t="s">
        <v>77</v>
      </c>
      <c r="H1204" s="1" t="s">
        <v>77</v>
      </c>
      <c r="I1204" s="1" t="s">
        <v>77</v>
      </c>
      <c r="J1204" s="1" t="s">
        <v>77</v>
      </c>
      <c r="K1204" s="1" t="s">
        <v>77</v>
      </c>
      <c r="L1204">
        <v>20221014094819</v>
      </c>
      <c r="M1204" s="1" t="s">
        <v>1715</v>
      </c>
      <c r="N1204" s="1" t="s">
        <v>84</v>
      </c>
      <c r="O1204">
        <v>10</v>
      </c>
      <c r="P1204" s="3">
        <v>44848</v>
      </c>
      <c r="Q1204">
        <v>41</v>
      </c>
    </row>
    <row r="1205" spans="1:17" x14ac:dyDescent="0.3">
      <c r="A1205" s="1" t="s">
        <v>1712</v>
      </c>
      <c r="B1205" s="2">
        <v>44848.408333333333</v>
      </c>
      <c r="C1205" s="1" t="s">
        <v>37</v>
      </c>
      <c r="D1205" s="1" t="s">
        <v>47</v>
      </c>
      <c r="E1205" s="1" t="s">
        <v>536</v>
      </c>
      <c r="F1205" s="1" t="s">
        <v>77</v>
      </c>
      <c r="G1205" s="1" t="s">
        <v>77</v>
      </c>
      <c r="H1205" s="1" t="s">
        <v>77</v>
      </c>
      <c r="I1205" s="1" t="s">
        <v>77</v>
      </c>
      <c r="J1205" s="1" t="s">
        <v>77</v>
      </c>
      <c r="K1205" s="1" t="s">
        <v>77</v>
      </c>
      <c r="L1205">
        <v>20221014094825</v>
      </c>
      <c r="M1205" s="1" t="s">
        <v>1716</v>
      </c>
      <c r="N1205" s="1" t="s">
        <v>84</v>
      </c>
      <c r="O1205">
        <v>10</v>
      </c>
      <c r="P1205" s="3">
        <v>44848</v>
      </c>
      <c r="Q1205">
        <v>41</v>
      </c>
    </row>
    <row r="1206" spans="1:17" x14ac:dyDescent="0.3">
      <c r="A1206" s="1" t="s">
        <v>1712</v>
      </c>
      <c r="B1206" s="2">
        <v>44848.408333333333</v>
      </c>
      <c r="C1206" s="1" t="s">
        <v>37</v>
      </c>
      <c r="D1206" s="1" t="s">
        <v>53</v>
      </c>
      <c r="E1206" s="1" t="s">
        <v>54</v>
      </c>
      <c r="F1206" s="1" t="s">
        <v>77</v>
      </c>
      <c r="G1206" s="1" t="s">
        <v>77</v>
      </c>
      <c r="H1206" s="1" t="s">
        <v>77</v>
      </c>
      <c r="I1206" s="1" t="s">
        <v>77</v>
      </c>
      <c r="J1206" s="1" t="s">
        <v>77</v>
      </c>
      <c r="K1206" s="1" t="s">
        <v>77</v>
      </c>
      <c r="L1206">
        <v>20221014094831</v>
      </c>
      <c r="M1206" s="1" t="s">
        <v>1717</v>
      </c>
      <c r="N1206" s="1" t="s">
        <v>84</v>
      </c>
      <c r="O1206">
        <v>10</v>
      </c>
      <c r="P1206" s="3">
        <v>44848</v>
      </c>
      <c r="Q1206">
        <v>41</v>
      </c>
    </row>
    <row r="1207" spans="1:17" x14ac:dyDescent="0.3">
      <c r="A1207" s="1" t="s">
        <v>1718</v>
      </c>
      <c r="B1207" s="2">
        <v>44848.40902777778</v>
      </c>
      <c r="C1207" s="1" t="s">
        <v>37</v>
      </c>
      <c r="D1207" s="1" t="s">
        <v>19</v>
      </c>
      <c r="E1207" s="1" t="s">
        <v>58</v>
      </c>
      <c r="F1207" s="1" t="s">
        <v>77</v>
      </c>
      <c r="G1207" s="1" t="s">
        <v>77</v>
      </c>
      <c r="H1207" s="1" t="s">
        <v>77</v>
      </c>
      <c r="I1207" s="1" t="s">
        <v>77</v>
      </c>
      <c r="J1207" s="1" t="s">
        <v>77</v>
      </c>
      <c r="K1207" s="1" t="s">
        <v>77</v>
      </c>
      <c r="L1207">
        <v>20221014094905</v>
      </c>
      <c r="M1207" s="1" t="s">
        <v>1719</v>
      </c>
      <c r="N1207" s="1" t="s">
        <v>84</v>
      </c>
      <c r="O1207">
        <v>10</v>
      </c>
      <c r="P1207" s="3">
        <v>44848</v>
      </c>
      <c r="Q1207">
        <v>41</v>
      </c>
    </row>
    <row r="1208" spans="1:17" x14ac:dyDescent="0.3">
      <c r="A1208" s="1" t="s">
        <v>1718</v>
      </c>
      <c r="B1208" s="2">
        <v>44848.40902777778</v>
      </c>
      <c r="C1208" s="1" t="s">
        <v>37</v>
      </c>
      <c r="D1208" s="1" t="s">
        <v>29</v>
      </c>
      <c r="E1208" s="1" t="s">
        <v>554</v>
      </c>
      <c r="F1208" s="1" t="s">
        <v>77</v>
      </c>
      <c r="G1208" s="1" t="s">
        <v>77</v>
      </c>
      <c r="H1208" s="1" t="s">
        <v>77</v>
      </c>
      <c r="I1208" s="1" t="s">
        <v>77</v>
      </c>
      <c r="J1208" s="1" t="s">
        <v>77</v>
      </c>
      <c r="K1208" s="1" t="s">
        <v>77</v>
      </c>
      <c r="L1208">
        <v>20221014094912</v>
      </c>
      <c r="M1208" s="1" t="s">
        <v>1720</v>
      </c>
      <c r="N1208" s="1" t="s">
        <v>84</v>
      </c>
      <c r="O1208">
        <v>10</v>
      </c>
      <c r="P1208" s="3">
        <v>44848</v>
      </c>
      <c r="Q1208">
        <v>41</v>
      </c>
    </row>
    <row r="1209" spans="1:17" x14ac:dyDescent="0.3">
      <c r="A1209" s="1" t="s">
        <v>1718</v>
      </c>
      <c r="B1209" s="2">
        <v>44848.40902777778</v>
      </c>
      <c r="C1209" s="1" t="s">
        <v>37</v>
      </c>
      <c r="D1209" s="1" t="s">
        <v>29</v>
      </c>
      <c r="E1209" s="1" t="s">
        <v>30</v>
      </c>
      <c r="F1209" s="1" t="s">
        <v>77</v>
      </c>
      <c r="G1209" s="1" t="s">
        <v>77</v>
      </c>
      <c r="H1209" s="1" t="s">
        <v>77</v>
      </c>
      <c r="I1209" s="1" t="s">
        <v>77</v>
      </c>
      <c r="J1209" s="1" t="s">
        <v>77</v>
      </c>
      <c r="K1209" s="1" t="s">
        <v>77</v>
      </c>
      <c r="L1209">
        <v>20221014094946</v>
      </c>
      <c r="M1209" s="1" t="s">
        <v>1721</v>
      </c>
      <c r="N1209" s="1" t="s">
        <v>84</v>
      </c>
      <c r="O1209">
        <v>10</v>
      </c>
      <c r="P1209" s="3">
        <v>44848</v>
      </c>
      <c r="Q1209">
        <v>41</v>
      </c>
    </row>
    <row r="1210" spans="1:17" x14ac:dyDescent="0.3">
      <c r="A1210" s="1" t="s">
        <v>1718</v>
      </c>
      <c r="B1210" s="2">
        <v>44848.409722222219</v>
      </c>
      <c r="C1210" s="1" t="s">
        <v>434</v>
      </c>
      <c r="D1210" s="1" t="s">
        <v>60</v>
      </c>
      <c r="E1210" s="1" t="s">
        <v>77</v>
      </c>
      <c r="F1210" s="1" t="s">
        <v>77</v>
      </c>
      <c r="G1210" s="1" t="s">
        <v>77</v>
      </c>
      <c r="H1210" s="1" t="s">
        <v>61</v>
      </c>
      <c r="I1210" s="1" t="s">
        <v>435</v>
      </c>
      <c r="J1210" s="1" t="s">
        <v>77</v>
      </c>
      <c r="K1210" s="1" t="s">
        <v>77</v>
      </c>
      <c r="L1210">
        <v>20221014094954</v>
      </c>
      <c r="M1210" s="1" t="s">
        <v>1722</v>
      </c>
      <c r="N1210" s="1" t="s">
        <v>84</v>
      </c>
      <c r="O1210">
        <v>10</v>
      </c>
      <c r="P1210" s="3">
        <v>44848</v>
      </c>
      <c r="Q1210">
        <v>41</v>
      </c>
    </row>
    <row r="1211" spans="1:17" x14ac:dyDescent="0.3">
      <c r="A1211" s="1" t="s">
        <v>1723</v>
      </c>
      <c r="B1211" s="2">
        <v>44848.409722222219</v>
      </c>
      <c r="C1211" s="1" t="s">
        <v>434</v>
      </c>
      <c r="D1211" s="1" t="s">
        <v>53</v>
      </c>
      <c r="E1211" s="1" t="s">
        <v>77</v>
      </c>
      <c r="F1211" s="1" t="s">
        <v>77</v>
      </c>
      <c r="G1211" s="1" t="s">
        <v>77</v>
      </c>
      <c r="H1211" s="1" t="s">
        <v>56</v>
      </c>
      <c r="I1211" s="1" t="s">
        <v>1724</v>
      </c>
      <c r="J1211" s="1" t="s">
        <v>20</v>
      </c>
      <c r="K1211" s="1" t="s">
        <v>20</v>
      </c>
      <c r="L1211">
        <v>20221014095031</v>
      </c>
      <c r="M1211" s="1" t="s">
        <v>1725</v>
      </c>
      <c r="N1211" s="1" t="s">
        <v>84</v>
      </c>
      <c r="O1211">
        <v>10</v>
      </c>
      <c r="P1211" s="3">
        <v>44848</v>
      </c>
      <c r="Q1211">
        <v>41</v>
      </c>
    </row>
    <row r="1212" spans="1:17" x14ac:dyDescent="0.3">
      <c r="A1212" s="1" t="s">
        <v>1726</v>
      </c>
      <c r="B1212" s="2">
        <v>44849.371527777781</v>
      </c>
      <c r="C1212" s="1" t="s">
        <v>37</v>
      </c>
      <c r="D1212" s="1" t="s">
        <v>26</v>
      </c>
      <c r="E1212" s="1" t="s">
        <v>27</v>
      </c>
      <c r="F1212" s="1" t="s">
        <v>77</v>
      </c>
      <c r="G1212" s="1" t="s">
        <v>77</v>
      </c>
      <c r="H1212" s="1" t="s">
        <v>77</v>
      </c>
      <c r="I1212" s="1" t="s">
        <v>77</v>
      </c>
      <c r="J1212" s="1" t="s">
        <v>77</v>
      </c>
      <c r="K1212" s="1" t="s">
        <v>77</v>
      </c>
      <c r="L1212">
        <v>20221015085549</v>
      </c>
      <c r="M1212" s="1" t="s">
        <v>1727</v>
      </c>
      <c r="N1212" s="1" t="s">
        <v>101</v>
      </c>
      <c r="O1212">
        <v>10</v>
      </c>
      <c r="P1212" s="3">
        <v>44849</v>
      </c>
      <c r="Q1212">
        <v>41</v>
      </c>
    </row>
    <row r="1213" spans="1:17" x14ac:dyDescent="0.3">
      <c r="A1213" s="1" t="s">
        <v>1726</v>
      </c>
      <c r="B1213" s="2">
        <v>44849.37222222222</v>
      </c>
      <c r="C1213" s="1" t="s">
        <v>37</v>
      </c>
      <c r="D1213" s="1" t="s">
        <v>195</v>
      </c>
      <c r="E1213" s="1" t="s">
        <v>21</v>
      </c>
      <c r="F1213" s="1" t="s">
        <v>77</v>
      </c>
      <c r="G1213" s="1" t="s">
        <v>77</v>
      </c>
      <c r="H1213" s="1" t="s">
        <v>77</v>
      </c>
      <c r="I1213" s="1" t="s">
        <v>77</v>
      </c>
      <c r="J1213" s="1" t="s">
        <v>77</v>
      </c>
      <c r="K1213" s="1" t="s">
        <v>77</v>
      </c>
      <c r="L1213">
        <v>20221015085557</v>
      </c>
      <c r="M1213" s="1" t="s">
        <v>1728</v>
      </c>
      <c r="N1213" s="1" t="s">
        <v>101</v>
      </c>
      <c r="O1213">
        <v>10</v>
      </c>
      <c r="P1213" s="3">
        <v>44849</v>
      </c>
      <c r="Q1213">
        <v>41</v>
      </c>
    </row>
    <row r="1214" spans="1:17" x14ac:dyDescent="0.3">
      <c r="A1214" s="1" t="s">
        <v>1729</v>
      </c>
      <c r="B1214" s="2">
        <v>44849.37222222222</v>
      </c>
      <c r="C1214" s="1" t="s">
        <v>37</v>
      </c>
      <c r="D1214" s="1" t="s">
        <v>38</v>
      </c>
      <c r="E1214" s="1" t="s">
        <v>39</v>
      </c>
      <c r="F1214" s="1" t="s">
        <v>77</v>
      </c>
      <c r="G1214" s="1" t="s">
        <v>77</v>
      </c>
      <c r="H1214" s="1" t="s">
        <v>77</v>
      </c>
      <c r="I1214" s="1" t="s">
        <v>77</v>
      </c>
      <c r="J1214" s="1" t="s">
        <v>77</v>
      </c>
      <c r="K1214" s="1" t="s">
        <v>77</v>
      </c>
      <c r="L1214">
        <v>20221015085604</v>
      </c>
      <c r="M1214" s="1" t="s">
        <v>1730</v>
      </c>
      <c r="N1214" s="1" t="s">
        <v>101</v>
      </c>
      <c r="O1214">
        <v>10</v>
      </c>
      <c r="P1214" s="3">
        <v>44849</v>
      </c>
      <c r="Q1214">
        <v>41</v>
      </c>
    </row>
    <row r="1215" spans="1:17" x14ac:dyDescent="0.3">
      <c r="A1215" s="1" t="s">
        <v>1729</v>
      </c>
      <c r="B1215" s="2">
        <v>44849.37222222222</v>
      </c>
      <c r="C1215" s="1" t="s">
        <v>37</v>
      </c>
      <c r="D1215" s="1" t="s">
        <v>41</v>
      </c>
      <c r="E1215" s="1" t="s">
        <v>42</v>
      </c>
      <c r="F1215" s="1" t="s">
        <v>77</v>
      </c>
      <c r="G1215" s="1" t="s">
        <v>77</v>
      </c>
      <c r="H1215" s="1" t="s">
        <v>77</v>
      </c>
      <c r="I1215" s="1" t="s">
        <v>77</v>
      </c>
      <c r="J1215" s="1" t="s">
        <v>77</v>
      </c>
      <c r="K1215" s="1" t="s">
        <v>77</v>
      </c>
      <c r="L1215">
        <v>20221015085630</v>
      </c>
      <c r="M1215" s="1" t="s">
        <v>1731</v>
      </c>
      <c r="N1215" s="1" t="s">
        <v>101</v>
      </c>
      <c r="O1215">
        <v>10</v>
      </c>
      <c r="P1215" s="3">
        <v>44849</v>
      </c>
      <c r="Q1215">
        <v>41</v>
      </c>
    </row>
    <row r="1216" spans="1:17" x14ac:dyDescent="0.3">
      <c r="A1216" s="1" t="s">
        <v>1729</v>
      </c>
      <c r="B1216" s="2">
        <v>44849.37222222222</v>
      </c>
      <c r="C1216" s="1" t="s">
        <v>37</v>
      </c>
      <c r="D1216" s="1" t="s">
        <v>44</v>
      </c>
      <c r="E1216" s="1" t="s">
        <v>45</v>
      </c>
      <c r="F1216" s="1" t="s">
        <v>77</v>
      </c>
      <c r="G1216" s="1" t="s">
        <v>77</v>
      </c>
      <c r="H1216" s="1" t="s">
        <v>77</v>
      </c>
      <c r="I1216" s="1" t="s">
        <v>77</v>
      </c>
      <c r="J1216" s="1" t="s">
        <v>77</v>
      </c>
      <c r="K1216" s="1" t="s">
        <v>77</v>
      </c>
      <c r="L1216">
        <v>20221015085637</v>
      </c>
      <c r="M1216" s="1" t="s">
        <v>1732</v>
      </c>
      <c r="N1216" s="1" t="s">
        <v>101</v>
      </c>
      <c r="O1216">
        <v>10</v>
      </c>
      <c r="P1216" s="3">
        <v>44849</v>
      </c>
      <c r="Q1216">
        <v>41</v>
      </c>
    </row>
    <row r="1217" spans="1:17" x14ac:dyDescent="0.3">
      <c r="A1217" s="1" t="s">
        <v>1729</v>
      </c>
      <c r="B1217" s="2">
        <v>44849.37222222222</v>
      </c>
      <c r="C1217" s="1" t="s">
        <v>37</v>
      </c>
      <c r="D1217" s="1" t="s">
        <v>47</v>
      </c>
      <c r="E1217" s="1" t="s">
        <v>51</v>
      </c>
      <c r="F1217" s="1" t="s">
        <v>77</v>
      </c>
      <c r="G1217" s="1" t="s">
        <v>77</v>
      </c>
      <c r="H1217" s="1" t="s">
        <v>77</v>
      </c>
      <c r="I1217" s="1" t="s">
        <v>77</v>
      </c>
      <c r="J1217" s="1" t="s">
        <v>77</v>
      </c>
      <c r="K1217" s="1" t="s">
        <v>77</v>
      </c>
      <c r="L1217">
        <v>20221015085646</v>
      </c>
      <c r="M1217" s="1" t="s">
        <v>1733</v>
      </c>
      <c r="N1217" s="1" t="s">
        <v>101</v>
      </c>
      <c r="O1217">
        <v>10</v>
      </c>
      <c r="P1217" s="3">
        <v>44849</v>
      </c>
      <c r="Q1217">
        <v>41</v>
      </c>
    </row>
    <row r="1218" spans="1:17" x14ac:dyDescent="0.3">
      <c r="A1218" s="1" t="s">
        <v>1729</v>
      </c>
      <c r="B1218" s="2">
        <v>44849.372916666667</v>
      </c>
      <c r="C1218" s="1" t="s">
        <v>37</v>
      </c>
      <c r="D1218" s="1" t="s">
        <v>47</v>
      </c>
      <c r="E1218" s="1" t="s">
        <v>536</v>
      </c>
      <c r="F1218" s="1" t="s">
        <v>77</v>
      </c>
      <c r="G1218" s="1" t="s">
        <v>77</v>
      </c>
      <c r="H1218" s="1" t="s">
        <v>77</v>
      </c>
      <c r="I1218" s="1" t="s">
        <v>77</v>
      </c>
      <c r="J1218" s="1" t="s">
        <v>77</v>
      </c>
      <c r="K1218" s="1" t="s">
        <v>77</v>
      </c>
      <c r="L1218">
        <v>20221015085655</v>
      </c>
      <c r="M1218" s="1" t="s">
        <v>1734</v>
      </c>
      <c r="N1218" s="1" t="s">
        <v>101</v>
      </c>
      <c r="O1218">
        <v>10</v>
      </c>
      <c r="P1218" s="3">
        <v>44849</v>
      </c>
      <c r="Q1218">
        <v>41</v>
      </c>
    </row>
    <row r="1219" spans="1:17" x14ac:dyDescent="0.3">
      <c r="A1219" s="1" t="s">
        <v>1735</v>
      </c>
      <c r="B1219" s="2">
        <v>44849.372916666667</v>
      </c>
      <c r="C1219" s="1" t="s">
        <v>37</v>
      </c>
      <c r="D1219" s="1" t="s">
        <v>53</v>
      </c>
      <c r="E1219" s="1" t="s">
        <v>54</v>
      </c>
      <c r="F1219" s="1" t="s">
        <v>77</v>
      </c>
      <c r="G1219" s="1" t="s">
        <v>77</v>
      </c>
      <c r="H1219" s="1" t="s">
        <v>77</v>
      </c>
      <c r="I1219" s="1" t="s">
        <v>77</v>
      </c>
      <c r="J1219" s="1" t="s">
        <v>77</v>
      </c>
      <c r="K1219" s="1" t="s">
        <v>77</v>
      </c>
      <c r="L1219">
        <v>20221015085704</v>
      </c>
      <c r="M1219" s="1" t="s">
        <v>1736</v>
      </c>
      <c r="N1219" s="1" t="s">
        <v>101</v>
      </c>
      <c r="O1219">
        <v>10</v>
      </c>
      <c r="P1219" s="3">
        <v>44849</v>
      </c>
      <c r="Q1219">
        <v>41</v>
      </c>
    </row>
    <row r="1220" spans="1:17" x14ac:dyDescent="0.3">
      <c r="A1220" s="1" t="s">
        <v>1735</v>
      </c>
      <c r="B1220" s="2">
        <v>44849.372916666667</v>
      </c>
      <c r="C1220" s="1" t="s">
        <v>434</v>
      </c>
      <c r="D1220" s="1" t="s">
        <v>60</v>
      </c>
      <c r="E1220" s="1" t="s">
        <v>77</v>
      </c>
      <c r="F1220" s="1" t="s">
        <v>77</v>
      </c>
      <c r="G1220" s="1" t="s">
        <v>77</v>
      </c>
      <c r="H1220" s="1" t="s">
        <v>61</v>
      </c>
      <c r="I1220" s="1" t="s">
        <v>435</v>
      </c>
      <c r="J1220" s="1" t="s">
        <v>77</v>
      </c>
      <c r="K1220" s="1" t="s">
        <v>77</v>
      </c>
      <c r="L1220">
        <v>20221015085713</v>
      </c>
      <c r="M1220" s="1" t="s">
        <v>1737</v>
      </c>
      <c r="N1220" s="1" t="s">
        <v>101</v>
      </c>
      <c r="O1220">
        <v>10</v>
      </c>
      <c r="P1220" s="3">
        <v>44849</v>
      </c>
      <c r="Q1220">
        <v>41</v>
      </c>
    </row>
    <row r="1221" spans="1:17" x14ac:dyDescent="0.3">
      <c r="A1221" s="1" t="s">
        <v>1735</v>
      </c>
      <c r="B1221" s="2">
        <v>44849.372916666667</v>
      </c>
      <c r="C1221" s="1" t="s">
        <v>434</v>
      </c>
      <c r="D1221" s="1" t="s">
        <v>53</v>
      </c>
      <c r="E1221" s="1" t="s">
        <v>77</v>
      </c>
      <c r="F1221" s="1" t="s">
        <v>77</v>
      </c>
      <c r="G1221" s="1" t="s">
        <v>77</v>
      </c>
      <c r="H1221" s="1" t="s">
        <v>20</v>
      </c>
      <c r="I1221" s="1" t="s">
        <v>20</v>
      </c>
      <c r="J1221" s="1" t="s">
        <v>77</v>
      </c>
      <c r="K1221" s="1" t="s">
        <v>77</v>
      </c>
      <c r="L1221">
        <v>20221015085732</v>
      </c>
      <c r="M1221" s="1" t="s">
        <v>1738</v>
      </c>
      <c r="N1221" s="1" t="s">
        <v>101</v>
      </c>
      <c r="O1221">
        <v>10</v>
      </c>
      <c r="P1221" s="3">
        <v>44849</v>
      </c>
      <c r="Q1221">
        <v>41</v>
      </c>
    </row>
    <row r="1222" spans="1:17" x14ac:dyDescent="0.3">
      <c r="A1222" s="1" t="s">
        <v>1735</v>
      </c>
      <c r="B1222" s="2">
        <v>44849.373611111114</v>
      </c>
      <c r="C1222" s="1" t="s">
        <v>18</v>
      </c>
      <c r="D1222" s="1" t="s">
        <v>19</v>
      </c>
      <c r="E1222" s="1" t="s">
        <v>77</v>
      </c>
      <c r="F1222" s="1" t="s">
        <v>77</v>
      </c>
      <c r="G1222" s="1" t="s">
        <v>77</v>
      </c>
      <c r="H1222" s="1" t="s">
        <v>77</v>
      </c>
      <c r="I1222" s="1" t="s">
        <v>77</v>
      </c>
      <c r="J1222" s="1" t="s">
        <v>58</v>
      </c>
      <c r="K1222" s="1" t="s">
        <v>309</v>
      </c>
      <c r="L1222">
        <v>20221015085753</v>
      </c>
      <c r="M1222" s="1" t="s">
        <v>1739</v>
      </c>
      <c r="N1222" s="1" t="s">
        <v>101</v>
      </c>
      <c r="O1222">
        <v>10</v>
      </c>
      <c r="P1222" s="3">
        <v>44849</v>
      </c>
      <c r="Q1222">
        <v>41</v>
      </c>
    </row>
    <row r="1223" spans="1:17" x14ac:dyDescent="0.3">
      <c r="A1223" s="1" t="s">
        <v>1740</v>
      </c>
      <c r="B1223" s="2">
        <v>44849.373611111114</v>
      </c>
      <c r="C1223" s="1" t="s">
        <v>18</v>
      </c>
      <c r="D1223" s="1" t="s">
        <v>29</v>
      </c>
      <c r="E1223" s="1" t="s">
        <v>77</v>
      </c>
      <c r="F1223" s="1" t="s">
        <v>77</v>
      </c>
      <c r="G1223" s="1" t="s">
        <v>77</v>
      </c>
      <c r="H1223" s="1" t="s">
        <v>77</v>
      </c>
      <c r="I1223" s="1" t="s">
        <v>77</v>
      </c>
      <c r="J1223" s="1" t="s">
        <v>30</v>
      </c>
      <c r="K1223" s="1" t="s">
        <v>523</v>
      </c>
      <c r="L1223">
        <v>20221015085806</v>
      </c>
      <c r="M1223" s="1" t="s">
        <v>1741</v>
      </c>
      <c r="N1223" s="1" t="s">
        <v>101</v>
      </c>
      <c r="O1223">
        <v>10</v>
      </c>
      <c r="P1223" s="3">
        <v>44849</v>
      </c>
      <c r="Q1223">
        <v>41</v>
      </c>
    </row>
    <row r="1224" spans="1:17" x14ac:dyDescent="0.3">
      <c r="A1224" s="1" t="s">
        <v>1740</v>
      </c>
      <c r="B1224" s="2">
        <v>44849.373611111114</v>
      </c>
      <c r="C1224" s="1" t="s">
        <v>18</v>
      </c>
      <c r="D1224" s="1" t="s">
        <v>29</v>
      </c>
      <c r="E1224" s="1" t="s">
        <v>77</v>
      </c>
      <c r="F1224" s="1" t="s">
        <v>77</v>
      </c>
      <c r="G1224" s="1" t="s">
        <v>77</v>
      </c>
      <c r="H1224" s="1" t="s">
        <v>77</v>
      </c>
      <c r="I1224" s="1" t="s">
        <v>77</v>
      </c>
      <c r="J1224" s="1" t="s">
        <v>554</v>
      </c>
      <c r="K1224" s="1" t="s">
        <v>523</v>
      </c>
      <c r="L1224">
        <v>20221015085820</v>
      </c>
      <c r="M1224" s="1" t="s">
        <v>1742</v>
      </c>
      <c r="N1224" s="1" t="s">
        <v>101</v>
      </c>
      <c r="O1224">
        <v>10</v>
      </c>
      <c r="P1224" s="3">
        <v>44849</v>
      </c>
      <c r="Q1224">
        <v>41</v>
      </c>
    </row>
    <row r="1225" spans="1:17" x14ac:dyDescent="0.3">
      <c r="A1225" s="1" t="s">
        <v>1743</v>
      </c>
      <c r="B1225" s="2">
        <v>44851.381944444445</v>
      </c>
      <c r="C1225" s="1" t="s">
        <v>37</v>
      </c>
      <c r="D1225" s="1" t="s">
        <v>26</v>
      </c>
      <c r="E1225" s="1" t="s">
        <v>27</v>
      </c>
      <c r="F1225" s="1" t="s">
        <v>77</v>
      </c>
      <c r="G1225" s="1" t="s">
        <v>77</v>
      </c>
      <c r="H1225" s="1" t="s">
        <v>77</v>
      </c>
      <c r="I1225" s="1" t="s">
        <v>77</v>
      </c>
      <c r="J1225" s="1" t="s">
        <v>77</v>
      </c>
      <c r="K1225" s="1" t="s">
        <v>77</v>
      </c>
      <c r="L1225">
        <v>20221017091042</v>
      </c>
      <c r="M1225" s="1" t="s">
        <v>1744</v>
      </c>
      <c r="N1225" s="1" t="s">
        <v>120</v>
      </c>
      <c r="O1225">
        <v>10</v>
      </c>
      <c r="P1225" s="3">
        <v>44851</v>
      </c>
      <c r="Q1225">
        <v>42</v>
      </c>
    </row>
    <row r="1226" spans="1:17" x14ac:dyDescent="0.3">
      <c r="A1226" s="1" t="s">
        <v>1743</v>
      </c>
      <c r="B1226" s="2">
        <v>44851.381944444445</v>
      </c>
      <c r="C1226" s="1" t="s">
        <v>37</v>
      </c>
      <c r="D1226" s="1" t="s">
        <v>195</v>
      </c>
      <c r="E1226" s="1" t="s">
        <v>21</v>
      </c>
      <c r="F1226" s="1" t="s">
        <v>77</v>
      </c>
      <c r="G1226" s="1" t="s">
        <v>77</v>
      </c>
      <c r="H1226" s="1" t="s">
        <v>77</v>
      </c>
      <c r="I1226" s="1" t="s">
        <v>77</v>
      </c>
      <c r="J1226" s="1" t="s">
        <v>77</v>
      </c>
      <c r="K1226" s="1" t="s">
        <v>77</v>
      </c>
      <c r="L1226">
        <v>20221017091048</v>
      </c>
      <c r="M1226" s="1" t="s">
        <v>1745</v>
      </c>
      <c r="N1226" s="1" t="s">
        <v>120</v>
      </c>
      <c r="O1226">
        <v>10</v>
      </c>
      <c r="P1226" s="3">
        <v>44851</v>
      </c>
      <c r="Q1226">
        <v>42</v>
      </c>
    </row>
    <row r="1227" spans="1:17" x14ac:dyDescent="0.3">
      <c r="A1227" s="1" t="s">
        <v>1743</v>
      </c>
      <c r="B1227" s="2">
        <v>44851.381944444445</v>
      </c>
      <c r="C1227" s="1" t="s">
        <v>37</v>
      </c>
      <c r="D1227" s="1" t="s">
        <v>38</v>
      </c>
      <c r="E1227" s="1" t="s">
        <v>39</v>
      </c>
      <c r="F1227" s="1" t="s">
        <v>77</v>
      </c>
      <c r="G1227" s="1" t="s">
        <v>77</v>
      </c>
      <c r="H1227" s="1" t="s">
        <v>77</v>
      </c>
      <c r="I1227" s="1" t="s">
        <v>77</v>
      </c>
      <c r="J1227" s="1" t="s">
        <v>77</v>
      </c>
      <c r="K1227" s="1" t="s">
        <v>77</v>
      </c>
      <c r="L1227">
        <v>20221017091055</v>
      </c>
      <c r="M1227" s="1" t="s">
        <v>1746</v>
      </c>
      <c r="N1227" s="1" t="s">
        <v>120</v>
      </c>
      <c r="O1227">
        <v>10</v>
      </c>
      <c r="P1227" s="3">
        <v>44851</v>
      </c>
      <c r="Q1227">
        <v>42</v>
      </c>
    </row>
    <row r="1228" spans="1:17" x14ac:dyDescent="0.3">
      <c r="A1228" s="1" t="s">
        <v>1747</v>
      </c>
      <c r="B1228" s="2">
        <v>44851.382638888892</v>
      </c>
      <c r="C1228" s="1" t="s">
        <v>37</v>
      </c>
      <c r="D1228" s="1" t="s">
        <v>41</v>
      </c>
      <c r="E1228" s="1" t="s">
        <v>42</v>
      </c>
      <c r="F1228" s="1" t="s">
        <v>77</v>
      </c>
      <c r="G1228" s="1" t="s">
        <v>77</v>
      </c>
      <c r="H1228" s="1" t="s">
        <v>77</v>
      </c>
      <c r="I1228" s="1" t="s">
        <v>77</v>
      </c>
      <c r="J1228" s="1" t="s">
        <v>77</v>
      </c>
      <c r="K1228" s="1" t="s">
        <v>77</v>
      </c>
      <c r="L1228">
        <v>20221017091101</v>
      </c>
      <c r="M1228" s="1" t="s">
        <v>1748</v>
      </c>
      <c r="N1228" s="1" t="s">
        <v>120</v>
      </c>
      <c r="O1228">
        <v>10</v>
      </c>
      <c r="P1228" s="3">
        <v>44851</v>
      </c>
      <c r="Q1228">
        <v>42</v>
      </c>
    </row>
    <row r="1229" spans="1:17" x14ac:dyDescent="0.3">
      <c r="A1229" s="1" t="s">
        <v>1747</v>
      </c>
      <c r="B1229" s="2">
        <v>44851.382638888892</v>
      </c>
      <c r="C1229" s="1" t="s">
        <v>37</v>
      </c>
      <c r="D1229" s="1" t="s">
        <v>44</v>
      </c>
      <c r="E1229" s="1" t="s">
        <v>45</v>
      </c>
      <c r="F1229" s="1" t="s">
        <v>77</v>
      </c>
      <c r="G1229" s="1" t="s">
        <v>77</v>
      </c>
      <c r="H1229" s="1" t="s">
        <v>77</v>
      </c>
      <c r="I1229" s="1" t="s">
        <v>77</v>
      </c>
      <c r="J1229" s="1" t="s">
        <v>77</v>
      </c>
      <c r="K1229" s="1" t="s">
        <v>77</v>
      </c>
      <c r="L1229">
        <v>20221017091111</v>
      </c>
      <c r="M1229" s="1" t="s">
        <v>1749</v>
      </c>
      <c r="N1229" s="1" t="s">
        <v>120</v>
      </c>
      <c r="O1229">
        <v>10</v>
      </c>
      <c r="P1229" s="3">
        <v>44851</v>
      </c>
      <c r="Q1229">
        <v>42</v>
      </c>
    </row>
    <row r="1230" spans="1:17" x14ac:dyDescent="0.3">
      <c r="A1230" s="1" t="s">
        <v>1747</v>
      </c>
      <c r="B1230" s="2">
        <v>44851.382638888892</v>
      </c>
      <c r="C1230" s="1" t="s">
        <v>37</v>
      </c>
      <c r="D1230" s="1" t="s">
        <v>47</v>
      </c>
      <c r="E1230" s="1" t="s">
        <v>51</v>
      </c>
      <c r="F1230" s="1" t="s">
        <v>77</v>
      </c>
      <c r="G1230" s="1" t="s">
        <v>77</v>
      </c>
      <c r="H1230" s="1" t="s">
        <v>77</v>
      </c>
      <c r="I1230" s="1" t="s">
        <v>77</v>
      </c>
      <c r="J1230" s="1" t="s">
        <v>77</v>
      </c>
      <c r="K1230" s="1" t="s">
        <v>77</v>
      </c>
      <c r="L1230">
        <v>20221017091119</v>
      </c>
      <c r="M1230" s="1" t="s">
        <v>1750</v>
      </c>
      <c r="N1230" s="1" t="s">
        <v>120</v>
      </c>
      <c r="O1230">
        <v>10</v>
      </c>
      <c r="P1230" s="3">
        <v>44851</v>
      </c>
      <c r="Q1230">
        <v>42</v>
      </c>
    </row>
    <row r="1231" spans="1:17" x14ac:dyDescent="0.3">
      <c r="A1231" s="1" t="s">
        <v>1747</v>
      </c>
      <c r="B1231" s="2">
        <v>44851.382638888892</v>
      </c>
      <c r="C1231" s="1" t="s">
        <v>37</v>
      </c>
      <c r="D1231" s="1" t="s">
        <v>47</v>
      </c>
      <c r="E1231" s="1" t="s">
        <v>536</v>
      </c>
      <c r="F1231" s="1" t="s">
        <v>77</v>
      </c>
      <c r="G1231" s="1" t="s">
        <v>77</v>
      </c>
      <c r="H1231" s="1" t="s">
        <v>77</v>
      </c>
      <c r="I1231" s="1" t="s">
        <v>77</v>
      </c>
      <c r="J1231" s="1" t="s">
        <v>77</v>
      </c>
      <c r="K1231" s="1" t="s">
        <v>77</v>
      </c>
      <c r="L1231">
        <v>20221017091130</v>
      </c>
      <c r="M1231" s="1" t="s">
        <v>1751</v>
      </c>
      <c r="N1231" s="1" t="s">
        <v>120</v>
      </c>
      <c r="O1231">
        <v>10</v>
      </c>
      <c r="P1231" s="3">
        <v>44851</v>
      </c>
      <c r="Q1231">
        <v>42</v>
      </c>
    </row>
    <row r="1232" spans="1:17" x14ac:dyDescent="0.3">
      <c r="A1232" s="1" t="s">
        <v>1747</v>
      </c>
      <c r="B1232" s="2">
        <v>44851.382638888892</v>
      </c>
      <c r="C1232" s="1" t="s">
        <v>37</v>
      </c>
      <c r="D1232" s="1" t="s">
        <v>53</v>
      </c>
      <c r="E1232" s="1" t="s">
        <v>54</v>
      </c>
      <c r="F1232" s="1" t="s">
        <v>77</v>
      </c>
      <c r="G1232" s="1" t="s">
        <v>77</v>
      </c>
      <c r="H1232" s="1" t="s">
        <v>77</v>
      </c>
      <c r="I1232" s="1" t="s">
        <v>77</v>
      </c>
      <c r="J1232" s="1" t="s">
        <v>77</v>
      </c>
      <c r="K1232" s="1" t="s">
        <v>77</v>
      </c>
      <c r="L1232">
        <v>20221017091136</v>
      </c>
      <c r="M1232" s="1" t="s">
        <v>1752</v>
      </c>
      <c r="N1232" s="1" t="s">
        <v>120</v>
      </c>
      <c r="O1232">
        <v>10</v>
      </c>
      <c r="P1232" s="3">
        <v>44851</v>
      </c>
      <c r="Q1232">
        <v>42</v>
      </c>
    </row>
    <row r="1233" spans="1:17" x14ac:dyDescent="0.3">
      <c r="A1233" s="1" t="s">
        <v>1747</v>
      </c>
      <c r="B1233" s="2">
        <v>44851.382638888892</v>
      </c>
      <c r="C1233" s="1" t="s">
        <v>37</v>
      </c>
      <c r="D1233" s="1" t="s">
        <v>53</v>
      </c>
      <c r="E1233" s="1" t="s">
        <v>56</v>
      </c>
      <c r="F1233" s="1" t="s">
        <v>77</v>
      </c>
      <c r="G1233" s="1" t="s">
        <v>77</v>
      </c>
      <c r="H1233" s="1" t="s">
        <v>77</v>
      </c>
      <c r="I1233" s="1" t="s">
        <v>77</v>
      </c>
      <c r="J1233" s="1" t="s">
        <v>77</v>
      </c>
      <c r="K1233" s="1" t="s">
        <v>77</v>
      </c>
      <c r="L1233">
        <v>20221017091143</v>
      </c>
      <c r="M1233" s="1" t="s">
        <v>1753</v>
      </c>
      <c r="N1233" s="1" t="s">
        <v>120</v>
      </c>
      <c r="O1233">
        <v>10</v>
      </c>
      <c r="P1233" s="3">
        <v>44851</v>
      </c>
      <c r="Q1233">
        <v>42</v>
      </c>
    </row>
    <row r="1234" spans="1:17" x14ac:dyDescent="0.3">
      <c r="A1234" s="1" t="s">
        <v>1747</v>
      </c>
      <c r="B1234" s="2">
        <v>44851.382638888892</v>
      </c>
      <c r="C1234" s="1" t="s">
        <v>37</v>
      </c>
      <c r="D1234" s="1" t="s">
        <v>60</v>
      </c>
      <c r="E1234" s="1" t="s">
        <v>61</v>
      </c>
      <c r="F1234" s="1" t="s">
        <v>77</v>
      </c>
      <c r="G1234" s="1" t="s">
        <v>77</v>
      </c>
      <c r="H1234" s="1" t="s">
        <v>77</v>
      </c>
      <c r="I1234" s="1" t="s">
        <v>77</v>
      </c>
      <c r="J1234" s="1" t="s">
        <v>77</v>
      </c>
      <c r="K1234" s="1" t="s">
        <v>77</v>
      </c>
      <c r="L1234">
        <v>20221017091150</v>
      </c>
      <c r="M1234" s="1" t="s">
        <v>1754</v>
      </c>
      <c r="N1234" s="1" t="s">
        <v>120</v>
      </c>
      <c r="O1234">
        <v>10</v>
      </c>
      <c r="P1234" s="3">
        <v>44851</v>
      </c>
      <c r="Q1234">
        <v>42</v>
      </c>
    </row>
    <row r="1235" spans="1:17" x14ac:dyDescent="0.3">
      <c r="A1235" s="1" t="s">
        <v>1755</v>
      </c>
      <c r="B1235" s="2">
        <v>44851.383333333331</v>
      </c>
      <c r="C1235" s="1" t="s">
        <v>37</v>
      </c>
      <c r="D1235" s="1" t="s">
        <v>29</v>
      </c>
      <c r="E1235" s="1" t="s">
        <v>30</v>
      </c>
      <c r="F1235" s="1" t="s">
        <v>77</v>
      </c>
      <c r="G1235" s="1" t="s">
        <v>77</v>
      </c>
      <c r="H1235" s="1" t="s">
        <v>77</v>
      </c>
      <c r="I1235" s="1" t="s">
        <v>77</v>
      </c>
      <c r="J1235" s="1" t="s">
        <v>77</v>
      </c>
      <c r="K1235" s="1" t="s">
        <v>77</v>
      </c>
      <c r="L1235">
        <v>20221017091218</v>
      </c>
      <c r="M1235" s="1" t="s">
        <v>1756</v>
      </c>
      <c r="N1235" s="1" t="s">
        <v>120</v>
      </c>
      <c r="O1235">
        <v>10</v>
      </c>
      <c r="P1235" s="3">
        <v>44851</v>
      </c>
      <c r="Q1235">
        <v>42</v>
      </c>
    </row>
    <row r="1236" spans="1:17" x14ac:dyDescent="0.3">
      <c r="A1236" s="1" t="s">
        <v>1755</v>
      </c>
      <c r="B1236" s="2">
        <v>44851.383333333331</v>
      </c>
      <c r="C1236" s="1" t="s">
        <v>37</v>
      </c>
      <c r="D1236" s="1" t="s">
        <v>29</v>
      </c>
      <c r="E1236" s="1" t="s">
        <v>554</v>
      </c>
      <c r="F1236" s="1" t="s">
        <v>77</v>
      </c>
      <c r="G1236" s="1" t="s">
        <v>77</v>
      </c>
      <c r="H1236" s="1" t="s">
        <v>77</v>
      </c>
      <c r="I1236" s="1" t="s">
        <v>77</v>
      </c>
      <c r="J1236" s="1" t="s">
        <v>77</v>
      </c>
      <c r="K1236" s="1" t="s">
        <v>77</v>
      </c>
      <c r="L1236">
        <v>20221017091224</v>
      </c>
      <c r="M1236" s="1" t="s">
        <v>1757</v>
      </c>
      <c r="N1236" s="1" t="s">
        <v>120</v>
      </c>
      <c r="O1236">
        <v>10</v>
      </c>
      <c r="P1236" s="3">
        <v>44851</v>
      </c>
      <c r="Q1236">
        <v>42</v>
      </c>
    </row>
    <row r="1237" spans="1:17" x14ac:dyDescent="0.3">
      <c r="A1237" s="1" t="s">
        <v>1755</v>
      </c>
      <c r="B1237" s="2">
        <v>44851.383333333331</v>
      </c>
      <c r="C1237" s="1" t="s">
        <v>37</v>
      </c>
      <c r="D1237" s="1" t="s">
        <v>19</v>
      </c>
      <c r="E1237" s="1" t="s">
        <v>58</v>
      </c>
      <c r="F1237" s="1" t="s">
        <v>77</v>
      </c>
      <c r="G1237" s="1" t="s">
        <v>77</v>
      </c>
      <c r="H1237" s="1" t="s">
        <v>77</v>
      </c>
      <c r="I1237" s="1" t="s">
        <v>77</v>
      </c>
      <c r="J1237" s="1" t="s">
        <v>20</v>
      </c>
      <c r="K1237" s="1" t="s">
        <v>20</v>
      </c>
      <c r="L1237">
        <v>20221017091230</v>
      </c>
      <c r="M1237" s="1" t="s">
        <v>1758</v>
      </c>
      <c r="N1237" s="1" t="s">
        <v>120</v>
      </c>
      <c r="O1237">
        <v>10</v>
      </c>
      <c r="P1237" s="3">
        <v>44851</v>
      </c>
      <c r="Q1237">
        <v>42</v>
      </c>
    </row>
    <row r="1238" spans="1:17" x14ac:dyDescent="0.3">
      <c r="A1238" s="1" t="s">
        <v>1759</v>
      </c>
      <c r="B1238" s="2">
        <v>44852.402083333334</v>
      </c>
      <c r="C1238" s="1" t="s">
        <v>37</v>
      </c>
      <c r="D1238" s="1" t="s">
        <v>26</v>
      </c>
      <c r="E1238" s="1" t="s">
        <v>27</v>
      </c>
      <c r="F1238" s="1" t="s">
        <v>77</v>
      </c>
      <c r="G1238" s="1" t="s">
        <v>77</v>
      </c>
      <c r="H1238" s="1" t="s">
        <v>77</v>
      </c>
      <c r="I1238" s="1" t="s">
        <v>77</v>
      </c>
      <c r="J1238" s="1" t="s">
        <v>77</v>
      </c>
      <c r="K1238" s="1" t="s">
        <v>77</v>
      </c>
      <c r="L1238">
        <v>20221018093954</v>
      </c>
      <c r="M1238" s="1" t="s">
        <v>1760</v>
      </c>
      <c r="N1238" s="1" t="s">
        <v>140</v>
      </c>
      <c r="O1238">
        <v>10</v>
      </c>
      <c r="P1238" s="3">
        <v>44852</v>
      </c>
      <c r="Q1238">
        <v>42</v>
      </c>
    </row>
    <row r="1239" spans="1:17" x14ac:dyDescent="0.3">
      <c r="A1239" s="1" t="s">
        <v>1761</v>
      </c>
      <c r="B1239" s="2">
        <v>44852.402777777781</v>
      </c>
      <c r="C1239" s="1" t="s">
        <v>37</v>
      </c>
      <c r="D1239" s="1" t="s">
        <v>195</v>
      </c>
      <c r="E1239" s="1" t="s">
        <v>21</v>
      </c>
      <c r="F1239" s="1" t="s">
        <v>77</v>
      </c>
      <c r="G1239" s="1" t="s">
        <v>77</v>
      </c>
      <c r="H1239" s="1" t="s">
        <v>77</v>
      </c>
      <c r="I1239" s="1" t="s">
        <v>77</v>
      </c>
      <c r="J1239" s="1" t="s">
        <v>77</v>
      </c>
      <c r="K1239" s="1" t="s">
        <v>77</v>
      </c>
      <c r="L1239">
        <v>20221018094002</v>
      </c>
      <c r="M1239" s="1" t="s">
        <v>1762</v>
      </c>
      <c r="N1239" s="1" t="s">
        <v>140</v>
      </c>
      <c r="O1239">
        <v>10</v>
      </c>
      <c r="P1239" s="3">
        <v>44852</v>
      </c>
      <c r="Q1239">
        <v>42</v>
      </c>
    </row>
    <row r="1240" spans="1:17" x14ac:dyDescent="0.3">
      <c r="A1240" s="1" t="s">
        <v>1761</v>
      </c>
      <c r="B1240" s="2">
        <v>44852.402777777781</v>
      </c>
      <c r="C1240" s="1" t="s">
        <v>37</v>
      </c>
      <c r="D1240" s="1" t="s">
        <v>38</v>
      </c>
      <c r="E1240" s="1" t="s">
        <v>39</v>
      </c>
      <c r="F1240" s="1" t="s">
        <v>77</v>
      </c>
      <c r="G1240" s="1" t="s">
        <v>77</v>
      </c>
      <c r="H1240" s="1" t="s">
        <v>77</v>
      </c>
      <c r="I1240" s="1" t="s">
        <v>77</v>
      </c>
      <c r="J1240" s="1" t="s">
        <v>77</v>
      </c>
      <c r="K1240" s="1" t="s">
        <v>77</v>
      </c>
      <c r="L1240">
        <v>20221018094010</v>
      </c>
      <c r="M1240" s="1" t="s">
        <v>1763</v>
      </c>
      <c r="N1240" s="1" t="s">
        <v>140</v>
      </c>
      <c r="O1240">
        <v>10</v>
      </c>
      <c r="P1240" s="3">
        <v>44852</v>
      </c>
      <c r="Q1240">
        <v>42</v>
      </c>
    </row>
    <row r="1241" spans="1:17" x14ac:dyDescent="0.3">
      <c r="A1241" s="1" t="s">
        <v>1761</v>
      </c>
      <c r="B1241" s="2">
        <v>44852.402777777781</v>
      </c>
      <c r="C1241" s="1" t="s">
        <v>37</v>
      </c>
      <c r="D1241" s="1" t="s">
        <v>41</v>
      </c>
      <c r="E1241" s="1" t="s">
        <v>42</v>
      </c>
      <c r="F1241" s="1" t="s">
        <v>77</v>
      </c>
      <c r="G1241" s="1" t="s">
        <v>77</v>
      </c>
      <c r="H1241" s="1" t="s">
        <v>77</v>
      </c>
      <c r="I1241" s="1" t="s">
        <v>77</v>
      </c>
      <c r="J1241" s="1" t="s">
        <v>77</v>
      </c>
      <c r="K1241" s="1" t="s">
        <v>77</v>
      </c>
      <c r="L1241">
        <v>20221018094016</v>
      </c>
      <c r="M1241" s="1" t="s">
        <v>1764</v>
      </c>
      <c r="N1241" s="1" t="s">
        <v>140</v>
      </c>
      <c r="O1241">
        <v>10</v>
      </c>
      <c r="P1241" s="3">
        <v>44852</v>
      </c>
      <c r="Q1241">
        <v>42</v>
      </c>
    </row>
    <row r="1242" spans="1:17" x14ac:dyDescent="0.3">
      <c r="A1242" s="1" t="s">
        <v>1761</v>
      </c>
      <c r="B1242" s="2">
        <v>44852.402777777781</v>
      </c>
      <c r="C1242" s="1" t="s">
        <v>37</v>
      </c>
      <c r="D1242" s="1" t="s">
        <v>44</v>
      </c>
      <c r="E1242" s="1" t="s">
        <v>45</v>
      </c>
      <c r="F1242" s="1" t="s">
        <v>77</v>
      </c>
      <c r="G1242" s="1" t="s">
        <v>77</v>
      </c>
      <c r="H1242" s="1" t="s">
        <v>77</v>
      </c>
      <c r="I1242" s="1" t="s">
        <v>77</v>
      </c>
      <c r="J1242" s="1" t="s">
        <v>77</v>
      </c>
      <c r="K1242" s="1" t="s">
        <v>77</v>
      </c>
      <c r="L1242">
        <v>20221018094022</v>
      </c>
      <c r="M1242" s="1" t="s">
        <v>1765</v>
      </c>
      <c r="N1242" s="1" t="s">
        <v>140</v>
      </c>
      <c r="O1242">
        <v>10</v>
      </c>
      <c r="P1242" s="3">
        <v>44852</v>
      </c>
      <c r="Q1242">
        <v>42</v>
      </c>
    </row>
    <row r="1243" spans="1:17" x14ac:dyDescent="0.3">
      <c r="A1243" s="1" t="s">
        <v>1761</v>
      </c>
      <c r="B1243" s="2">
        <v>44852.402777777781</v>
      </c>
      <c r="C1243" s="1" t="s">
        <v>37</v>
      </c>
      <c r="D1243" s="1" t="s">
        <v>47</v>
      </c>
      <c r="E1243" s="1" t="s">
        <v>51</v>
      </c>
      <c r="F1243" s="1" t="s">
        <v>77</v>
      </c>
      <c r="G1243" s="1" t="s">
        <v>77</v>
      </c>
      <c r="H1243" s="1" t="s">
        <v>77</v>
      </c>
      <c r="I1243" s="1" t="s">
        <v>77</v>
      </c>
      <c r="J1243" s="1" t="s">
        <v>77</v>
      </c>
      <c r="K1243" s="1" t="s">
        <v>77</v>
      </c>
      <c r="L1243">
        <v>20221018094029</v>
      </c>
      <c r="M1243" s="1" t="s">
        <v>1766</v>
      </c>
      <c r="N1243" s="1" t="s">
        <v>140</v>
      </c>
      <c r="O1243">
        <v>10</v>
      </c>
      <c r="P1243" s="3">
        <v>44852</v>
      </c>
      <c r="Q1243">
        <v>42</v>
      </c>
    </row>
    <row r="1244" spans="1:17" x14ac:dyDescent="0.3">
      <c r="A1244" s="1" t="s">
        <v>1761</v>
      </c>
      <c r="B1244" s="2">
        <v>44852.402777777781</v>
      </c>
      <c r="C1244" s="1" t="s">
        <v>37</v>
      </c>
      <c r="D1244" s="1" t="s">
        <v>47</v>
      </c>
      <c r="E1244" s="1" t="s">
        <v>536</v>
      </c>
      <c r="F1244" s="1" t="s">
        <v>77</v>
      </c>
      <c r="G1244" s="1" t="s">
        <v>77</v>
      </c>
      <c r="H1244" s="1" t="s">
        <v>77</v>
      </c>
      <c r="I1244" s="1" t="s">
        <v>77</v>
      </c>
      <c r="J1244" s="1" t="s">
        <v>77</v>
      </c>
      <c r="K1244" s="1" t="s">
        <v>77</v>
      </c>
      <c r="L1244">
        <v>20221018094036</v>
      </c>
      <c r="M1244" s="1" t="s">
        <v>1767</v>
      </c>
      <c r="N1244" s="1" t="s">
        <v>140</v>
      </c>
      <c r="O1244">
        <v>10</v>
      </c>
      <c r="P1244" s="3">
        <v>44852</v>
      </c>
      <c r="Q1244">
        <v>42</v>
      </c>
    </row>
    <row r="1245" spans="1:17" x14ac:dyDescent="0.3">
      <c r="A1245" s="1" t="s">
        <v>1761</v>
      </c>
      <c r="B1245" s="2">
        <v>44852.402777777781</v>
      </c>
      <c r="C1245" s="1" t="s">
        <v>37</v>
      </c>
      <c r="D1245" s="1" t="s">
        <v>53</v>
      </c>
      <c r="E1245" s="1" t="s">
        <v>54</v>
      </c>
      <c r="F1245" s="1" t="s">
        <v>77</v>
      </c>
      <c r="G1245" s="1" t="s">
        <v>77</v>
      </c>
      <c r="H1245" s="1" t="s">
        <v>77</v>
      </c>
      <c r="I1245" s="1" t="s">
        <v>77</v>
      </c>
      <c r="J1245" s="1" t="s">
        <v>77</v>
      </c>
      <c r="K1245" s="1" t="s">
        <v>77</v>
      </c>
      <c r="L1245">
        <v>20221018094042</v>
      </c>
      <c r="M1245" s="1" t="s">
        <v>1768</v>
      </c>
      <c r="N1245" s="1" t="s">
        <v>140</v>
      </c>
      <c r="O1245">
        <v>10</v>
      </c>
      <c r="P1245" s="3">
        <v>44852</v>
      </c>
      <c r="Q1245">
        <v>42</v>
      </c>
    </row>
    <row r="1246" spans="1:17" x14ac:dyDescent="0.3">
      <c r="A1246" s="1" t="s">
        <v>1761</v>
      </c>
      <c r="B1246" s="2">
        <v>44852.402777777781</v>
      </c>
      <c r="C1246" s="1" t="s">
        <v>37</v>
      </c>
      <c r="D1246" s="1" t="s">
        <v>53</v>
      </c>
      <c r="E1246" s="1" t="s">
        <v>56</v>
      </c>
      <c r="F1246" s="1" t="s">
        <v>77</v>
      </c>
      <c r="G1246" s="1" t="s">
        <v>77</v>
      </c>
      <c r="H1246" s="1" t="s">
        <v>77</v>
      </c>
      <c r="I1246" s="1" t="s">
        <v>77</v>
      </c>
      <c r="J1246" s="1" t="s">
        <v>77</v>
      </c>
      <c r="K1246" s="1" t="s">
        <v>77</v>
      </c>
      <c r="L1246">
        <v>20221018094048</v>
      </c>
      <c r="M1246" s="1" t="s">
        <v>1769</v>
      </c>
      <c r="N1246" s="1" t="s">
        <v>140</v>
      </c>
      <c r="O1246">
        <v>10</v>
      </c>
      <c r="P1246" s="3">
        <v>44852</v>
      </c>
      <c r="Q1246">
        <v>42</v>
      </c>
    </row>
    <row r="1247" spans="1:17" x14ac:dyDescent="0.3">
      <c r="A1247" s="1" t="s">
        <v>1761</v>
      </c>
      <c r="B1247" s="2">
        <v>44852.402777777781</v>
      </c>
      <c r="C1247" s="1" t="s">
        <v>37</v>
      </c>
      <c r="D1247" s="1" t="s">
        <v>19</v>
      </c>
      <c r="E1247" s="1" t="s">
        <v>58</v>
      </c>
      <c r="F1247" s="1" t="s">
        <v>77</v>
      </c>
      <c r="G1247" s="1" t="s">
        <v>77</v>
      </c>
      <c r="H1247" s="1" t="s">
        <v>77</v>
      </c>
      <c r="I1247" s="1" t="s">
        <v>77</v>
      </c>
      <c r="J1247" s="1" t="s">
        <v>77</v>
      </c>
      <c r="K1247" s="1" t="s">
        <v>77</v>
      </c>
      <c r="L1247">
        <v>20221018094054</v>
      </c>
      <c r="M1247" s="1" t="s">
        <v>1770</v>
      </c>
      <c r="N1247" s="1" t="s">
        <v>140</v>
      </c>
      <c r="O1247">
        <v>10</v>
      </c>
      <c r="P1247" s="3">
        <v>44852</v>
      </c>
      <c r="Q1247">
        <v>42</v>
      </c>
    </row>
    <row r="1248" spans="1:17" x14ac:dyDescent="0.3">
      <c r="A1248" s="1" t="s">
        <v>1771</v>
      </c>
      <c r="B1248" s="2">
        <v>44852.40347222222</v>
      </c>
      <c r="C1248" s="1" t="s">
        <v>37</v>
      </c>
      <c r="D1248" s="1" t="s">
        <v>60</v>
      </c>
      <c r="E1248" s="1" t="s">
        <v>61</v>
      </c>
      <c r="F1248" s="1" t="s">
        <v>77</v>
      </c>
      <c r="G1248" s="1" t="s">
        <v>77</v>
      </c>
      <c r="H1248" s="1" t="s">
        <v>77</v>
      </c>
      <c r="I1248" s="1" t="s">
        <v>77</v>
      </c>
      <c r="J1248" s="1" t="s">
        <v>77</v>
      </c>
      <c r="K1248" s="1" t="s">
        <v>77</v>
      </c>
      <c r="L1248">
        <v>20221018094120</v>
      </c>
      <c r="M1248" s="1" t="s">
        <v>1772</v>
      </c>
      <c r="N1248" s="1" t="s">
        <v>140</v>
      </c>
      <c r="O1248">
        <v>10</v>
      </c>
      <c r="P1248" s="3">
        <v>44852</v>
      </c>
      <c r="Q1248">
        <v>42</v>
      </c>
    </row>
    <row r="1249" spans="1:17" x14ac:dyDescent="0.3">
      <c r="A1249" s="1" t="s">
        <v>1771</v>
      </c>
      <c r="B1249" s="2">
        <v>44852.40347222222</v>
      </c>
      <c r="C1249" s="1" t="s">
        <v>37</v>
      </c>
      <c r="D1249" s="1" t="s">
        <v>29</v>
      </c>
      <c r="E1249" s="1" t="s">
        <v>30</v>
      </c>
      <c r="F1249" s="1" t="s">
        <v>77</v>
      </c>
      <c r="G1249" s="1" t="s">
        <v>77</v>
      </c>
      <c r="H1249" s="1" t="s">
        <v>77</v>
      </c>
      <c r="I1249" s="1" t="s">
        <v>77</v>
      </c>
      <c r="J1249" s="1" t="s">
        <v>77</v>
      </c>
      <c r="K1249" s="1" t="s">
        <v>77</v>
      </c>
      <c r="L1249">
        <v>20221018094126</v>
      </c>
      <c r="M1249" s="1" t="s">
        <v>1773</v>
      </c>
      <c r="N1249" s="1" t="s">
        <v>140</v>
      </c>
      <c r="O1249">
        <v>10</v>
      </c>
      <c r="P1249" s="3">
        <v>44852</v>
      </c>
      <c r="Q1249">
        <v>42</v>
      </c>
    </row>
    <row r="1250" spans="1:17" x14ac:dyDescent="0.3">
      <c r="A1250" s="1" t="s">
        <v>1771</v>
      </c>
      <c r="B1250" s="2">
        <v>44852.40347222222</v>
      </c>
      <c r="C1250" s="1" t="s">
        <v>37</v>
      </c>
      <c r="D1250" s="1" t="s">
        <v>29</v>
      </c>
      <c r="E1250" s="1" t="s">
        <v>554</v>
      </c>
      <c r="F1250" s="1" t="s">
        <v>77</v>
      </c>
      <c r="G1250" s="1" t="s">
        <v>77</v>
      </c>
      <c r="H1250" s="1" t="s">
        <v>77</v>
      </c>
      <c r="I1250" s="1" t="s">
        <v>77</v>
      </c>
      <c r="J1250" s="1" t="s">
        <v>77</v>
      </c>
      <c r="K1250" s="1" t="s">
        <v>77</v>
      </c>
      <c r="L1250">
        <v>20221018094132</v>
      </c>
      <c r="M1250" s="1" t="s">
        <v>1774</v>
      </c>
      <c r="N1250" s="1" t="s">
        <v>140</v>
      </c>
      <c r="O1250">
        <v>10</v>
      </c>
      <c r="P1250" s="3">
        <v>44852</v>
      </c>
      <c r="Q1250">
        <v>42</v>
      </c>
    </row>
    <row r="1251" spans="1:17" x14ac:dyDescent="0.3">
      <c r="A1251" s="1" t="s">
        <v>1775</v>
      </c>
      <c r="B1251" s="2">
        <v>44853.386111111111</v>
      </c>
      <c r="C1251" s="1" t="s">
        <v>37</v>
      </c>
      <c r="D1251" s="1" t="s">
        <v>26</v>
      </c>
      <c r="E1251" s="1" t="s">
        <v>27</v>
      </c>
      <c r="F1251" s="1" t="s">
        <v>77</v>
      </c>
      <c r="G1251" s="1" t="s">
        <v>77</v>
      </c>
      <c r="H1251" s="1" t="s">
        <v>77</v>
      </c>
      <c r="I1251" s="1" t="s">
        <v>77</v>
      </c>
      <c r="J1251" s="1" t="s">
        <v>77</v>
      </c>
      <c r="K1251" s="1" t="s">
        <v>77</v>
      </c>
      <c r="L1251">
        <v>20221019091637</v>
      </c>
      <c r="M1251" s="1" t="s">
        <v>1776</v>
      </c>
      <c r="N1251" s="1" t="s">
        <v>24</v>
      </c>
      <c r="O1251">
        <v>10</v>
      </c>
      <c r="P1251" s="3">
        <v>44853</v>
      </c>
      <c r="Q1251">
        <v>42</v>
      </c>
    </row>
    <row r="1252" spans="1:17" x14ac:dyDescent="0.3">
      <c r="A1252" s="1" t="s">
        <v>1777</v>
      </c>
      <c r="B1252" s="2">
        <v>44853.386805555558</v>
      </c>
      <c r="C1252" s="1" t="s">
        <v>37</v>
      </c>
      <c r="D1252" s="1" t="s">
        <v>195</v>
      </c>
      <c r="E1252" s="1" t="s">
        <v>21</v>
      </c>
      <c r="F1252" s="1" t="s">
        <v>77</v>
      </c>
      <c r="G1252" s="1" t="s">
        <v>77</v>
      </c>
      <c r="H1252" s="1" t="s">
        <v>77</v>
      </c>
      <c r="I1252" s="1" t="s">
        <v>77</v>
      </c>
      <c r="J1252" s="1" t="s">
        <v>77</v>
      </c>
      <c r="K1252" s="1" t="s">
        <v>77</v>
      </c>
      <c r="L1252">
        <v>20221019091718</v>
      </c>
      <c r="M1252" s="1" t="s">
        <v>1778</v>
      </c>
      <c r="N1252" s="1" t="s">
        <v>24</v>
      </c>
      <c r="O1252">
        <v>10</v>
      </c>
      <c r="P1252" s="3">
        <v>44853</v>
      </c>
      <c r="Q1252">
        <v>42</v>
      </c>
    </row>
    <row r="1253" spans="1:17" x14ac:dyDescent="0.3">
      <c r="A1253" s="1" t="s">
        <v>1779</v>
      </c>
      <c r="B1253" s="2">
        <v>44853.387499999997</v>
      </c>
      <c r="C1253" s="1" t="s">
        <v>37</v>
      </c>
      <c r="D1253" s="1" t="s">
        <v>38</v>
      </c>
      <c r="E1253" s="1" t="s">
        <v>39</v>
      </c>
      <c r="F1253" s="1" t="s">
        <v>77</v>
      </c>
      <c r="G1253" s="1" t="s">
        <v>77</v>
      </c>
      <c r="H1253" s="1" t="s">
        <v>77</v>
      </c>
      <c r="I1253" s="1" t="s">
        <v>77</v>
      </c>
      <c r="J1253" s="1" t="s">
        <v>77</v>
      </c>
      <c r="K1253" s="1" t="s">
        <v>77</v>
      </c>
      <c r="L1253">
        <v>20221019091817</v>
      </c>
      <c r="M1253" s="1" t="s">
        <v>1780</v>
      </c>
      <c r="N1253" s="1" t="s">
        <v>24</v>
      </c>
      <c r="O1253">
        <v>10</v>
      </c>
      <c r="P1253" s="3">
        <v>44853</v>
      </c>
      <c r="Q1253">
        <v>42</v>
      </c>
    </row>
    <row r="1254" spans="1:17" x14ac:dyDescent="0.3">
      <c r="A1254" s="1" t="s">
        <v>1779</v>
      </c>
      <c r="B1254" s="2">
        <v>44853.387499999997</v>
      </c>
      <c r="C1254" s="1" t="s">
        <v>37</v>
      </c>
      <c r="D1254" s="1" t="s">
        <v>41</v>
      </c>
      <c r="E1254" s="1" t="s">
        <v>42</v>
      </c>
      <c r="F1254" s="1" t="s">
        <v>77</v>
      </c>
      <c r="G1254" s="1" t="s">
        <v>77</v>
      </c>
      <c r="H1254" s="1" t="s">
        <v>77</v>
      </c>
      <c r="I1254" s="1" t="s">
        <v>77</v>
      </c>
      <c r="J1254" s="1" t="s">
        <v>77</v>
      </c>
      <c r="K1254" s="1" t="s">
        <v>77</v>
      </c>
      <c r="L1254">
        <v>20221019091830</v>
      </c>
      <c r="M1254" s="1" t="s">
        <v>1781</v>
      </c>
      <c r="N1254" s="1" t="s">
        <v>24</v>
      </c>
      <c r="O1254">
        <v>10</v>
      </c>
      <c r="P1254" s="3">
        <v>44853</v>
      </c>
      <c r="Q1254">
        <v>42</v>
      </c>
    </row>
    <row r="1255" spans="1:17" x14ac:dyDescent="0.3">
      <c r="A1255" s="1" t="s">
        <v>1779</v>
      </c>
      <c r="B1255" s="2">
        <v>44853.387499999997</v>
      </c>
      <c r="C1255" s="1" t="s">
        <v>37</v>
      </c>
      <c r="D1255" s="1" t="s">
        <v>44</v>
      </c>
      <c r="E1255" s="1" t="s">
        <v>45</v>
      </c>
      <c r="F1255" s="1" t="s">
        <v>77</v>
      </c>
      <c r="G1255" s="1" t="s">
        <v>77</v>
      </c>
      <c r="H1255" s="1" t="s">
        <v>77</v>
      </c>
      <c r="I1255" s="1" t="s">
        <v>77</v>
      </c>
      <c r="J1255" s="1" t="s">
        <v>77</v>
      </c>
      <c r="K1255" s="1" t="s">
        <v>77</v>
      </c>
      <c r="L1255">
        <v>20221019091844</v>
      </c>
      <c r="M1255" s="1" t="s">
        <v>1782</v>
      </c>
      <c r="N1255" s="1" t="s">
        <v>24</v>
      </c>
      <c r="O1255">
        <v>10</v>
      </c>
      <c r="P1255" s="3">
        <v>44853</v>
      </c>
      <c r="Q1255">
        <v>42</v>
      </c>
    </row>
    <row r="1256" spans="1:17" x14ac:dyDescent="0.3">
      <c r="A1256" s="1" t="s">
        <v>1779</v>
      </c>
      <c r="B1256" s="2">
        <v>44853.387499999997</v>
      </c>
      <c r="C1256" s="1" t="s">
        <v>37</v>
      </c>
      <c r="D1256" s="1" t="s">
        <v>47</v>
      </c>
      <c r="E1256" s="1" t="s">
        <v>51</v>
      </c>
      <c r="F1256" s="1" t="s">
        <v>77</v>
      </c>
      <c r="G1256" s="1" t="s">
        <v>77</v>
      </c>
      <c r="H1256" s="1" t="s">
        <v>77</v>
      </c>
      <c r="I1256" s="1" t="s">
        <v>77</v>
      </c>
      <c r="J1256" s="1" t="s">
        <v>77</v>
      </c>
      <c r="K1256" s="1" t="s">
        <v>77</v>
      </c>
      <c r="L1256">
        <v>20221019091854</v>
      </c>
      <c r="M1256" s="1" t="s">
        <v>1783</v>
      </c>
      <c r="N1256" s="1" t="s">
        <v>24</v>
      </c>
      <c r="O1256">
        <v>10</v>
      </c>
      <c r="P1256" s="3">
        <v>44853</v>
      </c>
      <c r="Q1256">
        <v>42</v>
      </c>
    </row>
    <row r="1257" spans="1:17" x14ac:dyDescent="0.3">
      <c r="A1257" s="1" t="s">
        <v>1784</v>
      </c>
      <c r="B1257" s="2">
        <v>44853.388194444444</v>
      </c>
      <c r="C1257" s="1" t="s">
        <v>37</v>
      </c>
      <c r="D1257" s="1" t="s">
        <v>47</v>
      </c>
      <c r="E1257" s="1" t="s">
        <v>536</v>
      </c>
      <c r="F1257" s="1" t="s">
        <v>77</v>
      </c>
      <c r="G1257" s="1" t="s">
        <v>77</v>
      </c>
      <c r="H1257" s="1" t="s">
        <v>77</v>
      </c>
      <c r="I1257" s="1" t="s">
        <v>77</v>
      </c>
      <c r="J1257" s="1" t="s">
        <v>77</v>
      </c>
      <c r="K1257" s="1" t="s">
        <v>77</v>
      </c>
      <c r="L1257">
        <v>20221019091902</v>
      </c>
      <c r="M1257" s="1" t="s">
        <v>1785</v>
      </c>
      <c r="N1257" s="1" t="s">
        <v>24</v>
      </c>
      <c r="O1257">
        <v>10</v>
      </c>
      <c r="P1257" s="3">
        <v>44853</v>
      </c>
      <c r="Q1257">
        <v>42</v>
      </c>
    </row>
    <row r="1258" spans="1:17" x14ac:dyDescent="0.3">
      <c r="A1258" s="1" t="s">
        <v>1784</v>
      </c>
      <c r="B1258" s="2">
        <v>44853.388194444444</v>
      </c>
      <c r="C1258" s="1" t="s">
        <v>37</v>
      </c>
      <c r="D1258" s="1" t="s">
        <v>53</v>
      </c>
      <c r="E1258" s="1" t="s">
        <v>54</v>
      </c>
      <c r="F1258" s="1" t="s">
        <v>77</v>
      </c>
      <c r="G1258" s="1" t="s">
        <v>77</v>
      </c>
      <c r="H1258" s="1" t="s">
        <v>77</v>
      </c>
      <c r="I1258" s="1" t="s">
        <v>77</v>
      </c>
      <c r="J1258" s="1" t="s">
        <v>77</v>
      </c>
      <c r="K1258" s="1" t="s">
        <v>77</v>
      </c>
      <c r="L1258">
        <v>20221019091911</v>
      </c>
      <c r="M1258" s="1" t="s">
        <v>1786</v>
      </c>
      <c r="N1258" s="1" t="s">
        <v>24</v>
      </c>
      <c r="O1258">
        <v>10</v>
      </c>
      <c r="P1258" s="3">
        <v>44853</v>
      </c>
      <c r="Q1258">
        <v>42</v>
      </c>
    </row>
    <row r="1259" spans="1:17" x14ac:dyDescent="0.3">
      <c r="A1259" s="1" t="s">
        <v>1784</v>
      </c>
      <c r="B1259" s="2">
        <v>44853.388194444444</v>
      </c>
      <c r="C1259" s="1" t="s">
        <v>37</v>
      </c>
      <c r="D1259" s="1" t="s">
        <v>53</v>
      </c>
      <c r="E1259" s="1" t="s">
        <v>56</v>
      </c>
      <c r="F1259" s="1" t="s">
        <v>77</v>
      </c>
      <c r="G1259" s="1" t="s">
        <v>77</v>
      </c>
      <c r="H1259" s="1" t="s">
        <v>77</v>
      </c>
      <c r="I1259" s="1" t="s">
        <v>77</v>
      </c>
      <c r="J1259" s="1" t="s">
        <v>77</v>
      </c>
      <c r="K1259" s="1" t="s">
        <v>77</v>
      </c>
      <c r="L1259">
        <v>20221019091918</v>
      </c>
      <c r="M1259" s="1" t="s">
        <v>1787</v>
      </c>
      <c r="N1259" s="1" t="s">
        <v>24</v>
      </c>
      <c r="O1259">
        <v>10</v>
      </c>
      <c r="P1259" s="3">
        <v>44853</v>
      </c>
      <c r="Q1259">
        <v>42</v>
      </c>
    </row>
    <row r="1260" spans="1:17" x14ac:dyDescent="0.3">
      <c r="A1260" s="1" t="s">
        <v>1784</v>
      </c>
      <c r="B1260" s="2">
        <v>44853.388194444444</v>
      </c>
      <c r="C1260" s="1" t="s">
        <v>37</v>
      </c>
      <c r="D1260" s="1" t="s">
        <v>19</v>
      </c>
      <c r="E1260" s="1" t="s">
        <v>58</v>
      </c>
      <c r="F1260" s="1" t="s">
        <v>77</v>
      </c>
      <c r="G1260" s="1" t="s">
        <v>77</v>
      </c>
      <c r="H1260" s="1" t="s">
        <v>77</v>
      </c>
      <c r="I1260" s="1" t="s">
        <v>77</v>
      </c>
      <c r="J1260" s="1" t="s">
        <v>77</v>
      </c>
      <c r="K1260" s="1" t="s">
        <v>77</v>
      </c>
      <c r="L1260">
        <v>20221019091928</v>
      </c>
      <c r="M1260" s="1" t="s">
        <v>1788</v>
      </c>
      <c r="N1260" s="1" t="s">
        <v>24</v>
      </c>
      <c r="O1260">
        <v>10</v>
      </c>
      <c r="P1260" s="3">
        <v>44853</v>
      </c>
      <c r="Q1260">
        <v>42</v>
      </c>
    </row>
    <row r="1261" spans="1:17" x14ac:dyDescent="0.3">
      <c r="A1261" s="1" t="s">
        <v>1784</v>
      </c>
      <c r="B1261" s="2">
        <v>44853.388194444444</v>
      </c>
      <c r="C1261" s="1" t="s">
        <v>37</v>
      </c>
      <c r="D1261" s="1" t="s">
        <v>60</v>
      </c>
      <c r="E1261" s="1" t="s">
        <v>61</v>
      </c>
      <c r="F1261" s="1" t="s">
        <v>77</v>
      </c>
      <c r="G1261" s="1" t="s">
        <v>77</v>
      </c>
      <c r="H1261" s="1" t="s">
        <v>77</v>
      </c>
      <c r="I1261" s="1" t="s">
        <v>77</v>
      </c>
      <c r="J1261" s="1" t="s">
        <v>77</v>
      </c>
      <c r="K1261" s="1" t="s">
        <v>77</v>
      </c>
      <c r="L1261">
        <v>20221019091955</v>
      </c>
      <c r="M1261" s="1" t="s">
        <v>1789</v>
      </c>
      <c r="N1261" s="1" t="s">
        <v>24</v>
      </c>
      <c r="O1261">
        <v>10</v>
      </c>
      <c r="P1261" s="3">
        <v>44853</v>
      </c>
      <c r="Q1261">
        <v>42</v>
      </c>
    </row>
    <row r="1262" spans="1:17" x14ac:dyDescent="0.3">
      <c r="A1262" s="1" t="s">
        <v>1790</v>
      </c>
      <c r="B1262" s="2">
        <v>44853.388888888891</v>
      </c>
      <c r="C1262" s="1" t="s">
        <v>18</v>
      </c>
      <c r="D1262" s="1" t="s">
        <v>29</v>
      </c>
      <c r="E1262" s="1" t="s">
        <v>77</v>
      </c>
      <c r="F1262" s="1" t="s">
        <v>77</v>
      </c>
      <c r="G1262" s="1" t="s">
        <v>77</v>
      </c>
      <c r="H1262" s="1" t="s">
        <v>77</v>
      </c>
      <c r="I1262" s="1" t="s">
        <v>77</v>
      </c>
      <c r="J1262" s="1" t="s">
        <v>30</v>
      </c>
      <c r="K1262" s="1" t="s">
        <v>175</v>
      </c>
      <c r="L1262">
        <v>20221019092003</v>
      </c>
      <c r="M1262" s="1" t="s">
        <v>1791</v>
      </c>
      <c r="N1262" s="1" t="s">
        <v>24</v>
      </c>
      <c r="O1262">
        <v>10</v>
      </c>
      <c r="P1262" s="3">
        <v>44853</v>
      </c>
      <c r="Q1262">
        <v>42</v>
      </c>
    </row>
    <row r="1263" spans="1:17" x14ac:dyDescent="0.3">
      <c r="A1263" s="1" t="s">
        <v>1790</v>
      </c>
      <c r="B1263" s="2">
        <v>44853.388888888891</v>
      </c>
      <c r="C1263" s="1" t="s">
        <v>18</v>
      </c>
      <c r="D1263" s="1" t="s">
        <v>29</v>
      </c>
      <c r="E1263" s="1" t="s">
        <v>77</v>
      </c>
      <c r="F1263" s="1" t="s">
        <v>77</v>
      </c>
      <c r="G1263" s="1" t="s">
        <v>77</v>
      </c>
      <c r="H1263" s="1" t="s">
        <v>77</v>
      </c>
      <c r="I1263" s="1" t="s">
        <v>77</v>
      </c>
      <c r="J1263" s="1" t="s">
        <v>554</v>
      </c>
      <c r="K1263" s="1" t="s">
        <v>175</v>
      </c>
      <c r="L1263">
        <v>20221019092016</v>
      </c>
      <c r="M1263" s="1" t="s">
        <v>1792</v>
      </c>
      <c r="N1263" s="1" t="s">
        <v>24</v>
      </c>
      <c r="O1263">
        <v>10</v>
      </c>
      <c r="P1263" s="3">
        <v>44853</v>
      </c>
      <c r="Q1263">
        <v>42</v>
      </c>
    </row>
    <row r="1264" spans="1:17" x14ac:dyDescent="0.3">
      <c r="A1264" s="1" t="s">
        <v>1793</v>
      </c>
      <c r="B1264" s="2">
        <v>44854.37777777778</v>
      </c>
      <c r="C1264" s="1" t="s">
        <v>37</v>
      </c>
      <c r="D1264" s="1" t="s">
        <v>26</v>
      </c>
      <c r="E1264" s="1" t="s">
        <v>27</v>
      </c>
      <c r="F1264" s="1" t="s">
        <v>77</v>
      </c>
      <c r="G1264" s="1" t="s">
        <v>77</v>
      </c>
      <c r="H1264" s="1" t="s">
        <v>77</v>
      </c>
      <c r="I1264" s="1" t="s">
        <v>77</v>
      </c>
      <c r="J1264" s="1" t="s">
        <v>77</v>
      </c>
      <c r="K1264" s="1" t="s">
        <v>77</v>
      </c>
      <c r="L1264">
        <v>20221020090437</v>
      </c>
      <c r="M1264" s="1" t="s">
        <v>1794</v>
      </c>
      <c r="N1264" s="1" t="s">
        <v>65</v>
      </c>
      <c r="O1264">
        <v>10</v>
      </c>
      <c r="P1264" s="3">
        <v>44854</v>
      </c>
      <c r="Q1264">
        <v>42</v>
      </c>
    </row>
    <row r="1265" spans="1:17" x14ac:dyDescent="0.3">
      <c r="A1265" s="1" t="s">
        <v>1793</v>
      </c>
      <c r="B1265" s="2">
        <v>44854.37777777778</v>
      </c>
      <c r="C1265" s="1" t="s">
        <v>37</v>
      </c>
      <c r="D1265" s="1" t="s">
        <v>195</v>
      </c>
      <c r="E1265" s="1" t="s">
        <v>21</v>
      </c>
      <c r="F1265" s="1" t="s">
        <v>77</v>
      </c>
      <c r="G1265" s="1" t="s">
        <v>77</v>
      </c>
      <c r="H1265" s="1" t="s">
        <v>77</v>
      </c>
      <c r="I1265" s="1" t="s">
        <v>77</v>
      </c>
      <c r="J1265" s="1" t="s">
        <v>77</v>
      </c>
      <c r="K1265" s="1" t="s">
        <v>77</v>
      </c>
      <c r="L1265">
        <v>20221020090443</v>
      </c>
      <c r="M1265" s="1" t="s">
        <v>1795</v>
      </c>
      <c r="N1265" s="1" t="s">
        <v>65</v>
      </c>
      <c r="O1265">
        <v>10</v>
      </c>
      <c r="P1265" s="3">
        <v>44854</v>
      </c>
      <c r="Q1265">
        <v>42</v>
      </c>
    </row>
    <row r="1266" spans="1:17" x14ac:dyDescent="0.3">
      <c r="A1266" s="1" t="s">
        <v>1793</v>
      </c>
      <c r="B1266" s="2">
        <v>44854.37777777778</v>
      </c>
      <c r="C1266" s="1" t="s">
        <v>37</v>
      </c>
      <c r="D1266" s="1" t="s">
        <v>38</v>
      </c>
      <c r="E1266" s="1" t="s">
        <v>39</v>
      </c>
      <c r="F1266" s="1" t="s">
        <v>77</v>
      </c>
      <c r="G1266" s="1" t="s">
        <v>77</v>
      </c>
      <c r="H1266" s="1" t="s">
        <v>77</v>
      </c>
      <c r="I1266" s="1" t="s">
        <v>77</v>
      </c>
      <c r="J1266" s="1" t="s">
        <v>77</v>
      </c>
      <c r="K1266" s="1" t="s">
        <v>77</v>
      </c>
      <c r="L1266">
        <v>20221020090449</v>
      </c>
      <c r="M1266" s="1" t="s">
        <v>1796</v>
      </c>
      <c r="N1266" s="1" t="s">
        <v>65</v>
      </c>
      <c r="O1266">
        <v>10</v>
      </c>
      <c r="P1266" s="3">
        <v>44854</v>
      </c>
      <c r="Q1266">
        <v>42</v>
      </c>
    </row>
    <row r="1267" spans="1:17" x14ac:dyDescent="0.3">
      <c r="A1267" s="1" t="s">
        <v>1793</v>
      </c>
      <c r="B1267" s="2">
        <v>44854.37777777778</v>
      </c>
      <c r="C1267" s="1" t="s">
        <v>37</v>
      </c>
      <c r="D1267" s="1" t="s">
        <v>41</v>
      </c>
      <c r="E1267" s="1" t="s">
        <v>42</v>
      </c>
      <c r="F1267" s="1" t="s">
        <v>77</v>
      </c>
      <c r="G1267" s="1" t="s">
        <v>77</v>
      </c>
      <c r="H1267" s="1" t="s">
        <v>77</v>
      </c>
      <c r="I1267" s="1" t="s">
        <v>77</v>
      </c>
      <c r="J1267" s="1" t="s">
        <v>77</v>
      </c>
      <c r="K1267" s="1" t="s">
        <v>77</v>
      </c>
      <c r="L1267">
        <v>20221020090455</v>
      </c>
      <c r="M1267" s="1" t="s">
        <v>1797</v>
      </c>
      <c r="N1267" s="1" t="s">
        <v>65</v>
      </c>
      <c r="O1267">
        <v>10</v>
      </c>
      <c r="P1267" s="3">
        <v>44854</v>
      </c>
      <c r="Q1267">
        <v>42</v>
      </c>
    </row>
    <row r="1268" spans="1:17" x14ac:dyDescent="0.3">
      <c r="A1268" s="1" t="s">
        <v>1798</v>
      </c>
      <c r="B1268" s="2">
        <v>44854.378472222219</v>
      </c>
      <c r="C1268" s="1" t="s">
        <v>37</v>
      </c>
      <c r="D1268" s="1" t="s">
        <v>44</v>
      </c>
      <c r="E1268" s="1" t="s">
        <v>45</v>
      </c>
      <c r="F1268" s="1" t="s">
        <v>77</v>
      </c>
      <c r="G1268" s="1" t="s">
        <v>77</v>
      </c>
      <c r="H1268" s="1" t="s">
        <v>77</v>
      </c>
      <c r="I1268" s="1" t="s">
        <v>77</v>
      </c>
      <c r="J1268" s="1" t="s">
        <v>77</v>
      </c>
      <c r="K1268" s="1" t="s">
        <v>77</v>
      </c>
      <c r="L1268">
        <v>20221020090501</v>
      </c>
      <c r="M1268" s="1" t="s">
        <v>1799</v>
      </c>
      <c r="N1268" s="1" t="s">
        <v>65</v>
      </c>
      <c r="O1268">
        <v>10</v>
      </c>
      <c r="P1268" s="3">
        <v>44854</v>
      </c>
      <c r="Q1268">
        <v>42</v>
      </c>
    </row>
    <row r="1269" spans="1:17" x14ac:dyDescent="0.3">
      <c r="A1269" s="1" t="s">
        <v>1798</v>
      </c>
      <c r="B1269" s="2">
        <v>44854.378472222219</v>
      </c>
      <c r="C1269" s="1" t="s">
        <v>37</v>
      </c>
      <c r="D1269" s="1" t="s">
        <v>47</v>
      </c>
      <c r="E1269" s="1" t="s">
        <v>51</v>
      </c>
      <c r="F1269" s="1" t="s">
        <v>77</v>
      </c>
      <c r="G1269" s="1" t="s">
        <v>77</v>
      </c>
      <c r="H1269" s="1" t="s">
        <v>77</v>
      </c>
      <c r="I1269" s="1" t="s">
        <v>77</v>
      </c>
      <c r="J1269" s="1" t="s">
        <v>77</v>
      </c>
      <c r="K1269" s="1" t="s">
        <v>77</v>
      </c>
      <c r="L1269">
        <v>20221020090507</v>
      </c>
      <c r="M1269" s="1" t="s">
        <v>1800</v>
      </c>
      <c r="N1269" s="1" t="s">
        <v>65</v>
      </c>
      <c r="O1269">
        <v>10</v>
      </c>
      <c r="P1269" s="3">
        <v>44854</v>
      </c>
      <c r="Q1269">
        <v>42</v>
      </c>
    </row>
    <row r="1270" spans="1:17" x14ac:dyDescent="0.3">
      <c r="A1270" s="1" t="s">
        <v>1798</v>
      </c>
      <c r="B1270" s="2">
        <v>44854.378472222219</v>
      </c>
      <c r="C1270" s="1" t="s">
        <v>37</v>
      </c>
      <c r="D1270" s="1" t="s">
        <v>47</v>
      </c>
      <c r="E1270" s="1" t="s">
        <v>536</v>
      </c>
      <c r="F1270" s="1" t="s">
        <v>77</v>
      </c>
      <c r="G1270" s="1" t="s">
        <v>77</v>
      </c>
      <c r="H1270" s="1" t="s">
        <v>77</v>
      </c>
      <c r="I1270" s="1" t="s">
        <v>77</v>
      </c>
      <c r="J1270" s="1" t="s">
        <v>77</v>
      </c>
      <c r="K1270" s="1" t="s">
        <v>77</v>
      </c>
      <c r="L1270">
        <v>20221020090515</v>
      </c>
      <c r="M1270" s="1" t="s">
        <v>1801</v>
      </c>
      <c r="N1270" s="1" t="s">
        <v>65</v>
      </c>
      <c r="O1270">
        <v>10</v>
      </c>
      <c r="P1270" s="3">
        <v>44854</v>
      </c>
      <c r="Q1270">
        <v>42</v>
      </c>
    </row>
    <row r="1271" spans="1:17" x14ac:dyDescent="0.3">
      <c r="A1271" s="1" t="s">
        <v>1798</v>
      </c>
      <c r="B1271" s="2">
        <v>44854.378472222219</v>
      </c>
      <c r="C1271" s="1" t="s">
        <v>37</v>
      </c>
      <c r="D1271" s="1" t="s">
        <v>53</v>
      </c>
      <c r="E1271" s="1" t="s">
        <v>54</v>
      </c>
      <c r="F1271" s="1" t="s">
        <v>77</v>
      </c>
      <c r="G1271" s="1" t="s">
        <v>77</v>
      </c>
      <c r="H1271" s="1" t="s">
        <v>77</v>
      </c>
      <c r="I1271" s="1" t="s">
        <v>77</v>
      </c>
      <c r="J1271" s="1" t="s">
        <v>77</v>
      </c>
      <c r="K1271" s="1" t="s">
        <v>77</v>
      </c>
      <c r="L1271">
        <v>20221020090520</v>
      </c>
      <c r="M1271" s="1" t="s">
        <v>1802</v>
      </c>
      <c r="N1271" s="1" t="s">
        <v>65</v>
      </c>
      <c r="O1271">
        <v>10</v>
      </c>
      <c r="P1271" s="3">
        <v>44854</v>
      </c>
      <c r="Q1271">
        <v>42</v>
      </c>
    </row>
    <row r="1272" spans="1:17" x14ac:dyDescent="0.3">
      <c r="A1272" s="1" t="s">
        <v>1798</v>
      </c>
      <c r="B1272" s="2">
        <v>44854.378472222219</v>
      </c>
      <c r="C1272" s="1" t="s">
        <v>37</v>
      </c>
      <c r="D1272" s="1" t="s">
        <v>53</v>
      </c>
      <c r="E1272" s="1" t="s">
        <v>56</v>
      </c>
      <c r="F1272" s="1" t="s">
        <v>77</v>
      </c>
      <c r="G1272" s="1" t="s">
        <v>77</v>
      </c>
      <c r="H1272" s="1" t="s">
        <v>77</v>
      </c>
      <c r="I1272" s="1" t="s">
        <v>77</v>
      </c>
      <c r="J1272" s="1" t="s">
        <v>77</v>
      </c>
      <c r="K1272" s="1" t="s">
        <v>77</v>
      </c>
      <c r="L1272">
        <v>20221020090527</v>
      </c>
      <c r="M1272" s="1" t="s">
        <v>1803</v>
      </c>
      <c r="N1272" s="1" t="s">
        <v>65</v>
      </c>
      <c r="O1272">
        <v>10</v>
      </c>
      <c r="P1272" s="3">
        <v>44854</v>
      </c>
      <c r="Q1272">
        <v>42</v>
      </c>
    </row>
    <row r="1273" spans="1:17" x14ac:dyDescent="0.3">
      <c r="A1273" s="1" t="s">
        <v>1798</v>
      </c>
      <c r="B1273" s="2">
        <v>44854.378472222219</v>
      </c>
      <c r="C1273" s="1" t="s">
        <v>37</v>
      </c>
      <c r="D1273" s="1" t="s">
        <v>19</v>
      </c>
      <c r="E1273" s="1" t="s">
        <v>58</v>
      </c>
      <c r="F1273" s="1" t="s">
        <v>77</v>
      </c>
      <c r="G1273" s="1" t="s">
        <v>77</v>
      </c>
      <c r="H1273" s="1" t="s">
        <v>77</v>
      </c>
      <c r="I1273" s="1" t="s">
        <v>77</v>
      </c>
      <c r="J1273" s="1" t="s">
        <v>77</v>
      </c>
      <c r="K1273" s="1" t="s">
        <v>77</v>
      </c>
      <c r="L1273">
        <v>20221020090533</v>
      </c>
      <c r="M1273" s="1" t="s">
        <v>1804</v>
      </c>
      <c r="N1273" s="1" t="s">
        <v>65</v>
      </c>
      <c r="O1273">
        <v>10</v>
      </c>
      <c r="P1273" s="3">
        <v>44854</v>
      </c>
      <c r="Q1273">
        <v>42</v>
      </c>
    </row>
    <row r="1274" spans="1:17" x14ac:dyDescent="0.3">
      <c r="A1274" s="1" t="s">
        <v>1798</v>
      </c>
      <c r="B1274" s="2">
        <v>44854.378472222219</v>
      </c>
      <c r="C1274" s="1" t="s">
        <v>37</v>
      </c>
      <c r="D1274" s="1" t="s">
        <v>60</v>
      </c>
      <c r="E1274" s="1" t="s">
        <v>61</v>
      </c>
      <c r="F1274" s="1" t="s">
        <v>77</v>
      </c>
      <c r="G1274" s="1" t="s">
        <v>77</v>
      </c>
      <c r="H1274" s="1" t="s">
        <v>77</v>
      </c>
      <c r="I1274" s="1" t="s">
        <v>77</v>
      </c>
      <c r="J1274" s="1" t="s">
        <v>77</v>
      </c>
      <c r="K1274" s="1" t="s">
        <v>77</v>
      </c>
      <c r="L1274">
        <v>20221020090539</v>
      </c>
      <c r="M1274" s="1" t="s">
        <v>1805</v>
      </c>
      <c r="N1274" s="1" t="s">
        <v>65</v>
      </c>
      <c r="O1274">
        <v>10</v>
      </c>
      <c r="P1274" s="3">
        <v>44854</v>
      </c>
      <c r="Q1274">
        <v>42</v>
      </c>
    </row>
    <row r="1275" spans="1:17" x14ac:dyDescent="0.3">
      <c r="A1275" s="1" t="s">
        <v>1798</v>
      </c>
      <c r="B1275" s="2">
        <v>44854.378472222219</v>
      </c>
      <c r="C1275" s="1" t="s">
        <v>37</v>
      </c>
      <c r="D1275" s="1" t="s">
        <v>29</v>
      </c>
      <c r="E1275" s="1" t="s">
        <v>30</v>
      </c>
      <c r="F1275" s="1" t="s">
        <v>77</v>
      </c>
      <c r="G1275" s="1" t="s">
        <v>77</v>
      </c>
      <c r="H1275" s="1" t="s">
        <v>77</v>
      </c>
      <c r="I1275" s="1" t="s">
        <v>77</v>
      </c>
      <c r="J1275" s="1" t="s">
        <v>77</v>
      </c>
      <c r="K1275" s="1" t="s">
        <v>77</v>
      </c>
      <c r="L1275">
        <v>20221020090545</v>
      </c>
      <c r="M1275" s="1" t="s">
        <v>1806</v>
      </c>
      <c r="N1275" s="1" t="s">
        <v>65</v>
      </c>
      <c r="O1275">
        <v>10</v>
      </c>
      <c r="P1275" s="3">
        <v>44854</v>
      </c>
      <c r="Q1275">
        <v>42</v>
      </c>
    </row>
    <row r="1276" spans="1:17" x14ac:dyDescent="0.3">
      <c r="A1276" s="1" t="s">
        <v>1798</v>
      </c>
      <c r="B1276" s="2">
        <v>44854.378472222219</v>
      </c>
      <c r="C1276" s="1" t="s">
        <v>37</v>
      </c>
      <c r="D1276" s="1" t="s">
        <v>29</v>
      </c>
      <c r="E1276" s="1" t="s">
        <v>554</v>
      </c>
      <c r="F1276" s="1" t="s">
        <v>77</v>
      </c>
      <c r="G1276" s="1" t="s">
        <v>77</v>
      </c>
      <c r="H1276" s="1" t="s">
        <v>77</v>
      </c>
      <c r="I1276" s="1" t="s">
        <v>77</v>
      </c>
      <c r="J1276" s="1" t="s">
        <v>77</v>
      </c>
      <c r="K1276" s="1" t="s">
        <v>77</v>
      </c>
      <c r="L1276">
        <v>20221020090551</v>
      </c>
      <c r="M1276" s="1" t="s">
        <v>1807</v>
      </c>
      <c r="N1276" s="1" t="s">
        <v>65</v>
      </c>
      <c r="O1276">
        <v>10</v>
      </c>
      <c r="P1276" s="3">
        <v>44854</v>
      </c>
      <c r="Q1276">
        <v>42</v>
      </c>
    </row>
    <row r="1277" spans="1:17" x14ac:dyDescent="0.3">
      <c r="A1277" s="1" t="s">
        <v>1808</v>
      </c>
      <c r="B1277" s="2">
        <v>44855.469444444447</v>
      </c>
      <c r="C1277" s="1" t="s">
        <v>37</v>
      </c>
      <c r="D1277" s="1" t="s">
        <v>26</v>
      </c>
      <c r="E1277" s="1" t="s">
        <v>27</v>
      </c>
      <c r="F1277" s="1" t="s">
        <v>77</v>
      </c>
      <c r="G1277" s="1" t="s">
        <v>77</v>
      </c>
      <c r="H1277" s="1" t="s">
        <v>77</v>
      </c>
      <c r="I1277" s="1" t="s">
        <v>77</v>
      </c>
      <c r="J1277" s="1" t="s">
        <v>77</v>
      </c>
      <c r="K1277" s="1" t="s">
        <v>77</v>
      </c>
      <c r="L1277">
        <v>20221021111643</v>
      </c>
      <c r="M1277" s="1" t="s">
        <v>1809</v>
      </c>
      <c r="N1277" s="1" t="s">
        <v>84</v>
      </c>
      <c r="O1277">
        <v>10</v>
      </c>
      <c r="P1277" s="3">
        <v>44855</v>
      </c>
      <c r="Q1277">
        <v>42</v>
      </c>
    </row>
    <row r="1278" spans="1:17" x14ac:dyDescent="0.3">
      <c r="A1278" s="1" t="s">
        <v>1808</v>
      </c>
      <c r="B1278" s="2">
        <v>44855.470138888886</v>
      </c>
      <c r="C1278" s="1" t="s">
        <v>37</v>
      </c>
      <c r="D1278" s="1" t="s">
        <v>195</v>
      </c>
      <c r="E1278" s="1" t="s">
        <v>21</v>
      </c>
      <c r="F1278" s="1" t="s">
        <v>77</v>
      </c>
      <c r="G1278" s="1" t="s">
        <v>77</v>
      </c>
      <c r="H1278" s="1" t="s">
        <v>77</v>
      </c>
      <c r="I1278" s="1" t="s">
        <v>77</v>
      </c>
      <c r="J1278" s="1" t="s">
        <v>77</v>
      </c>
      <c r="K1278" s="1" t="s">
        <v>77</v>
      </c>
      <c r="L1278">
        <v>20221021111657</v>
      </c>
      <c r="M1278" s="1" t="s">
        <v>1810</v>
      </c>
      <c r="N1278" s="1" t="s">
        <v>84</v>
      </c>
      <c r="O1278">
        <v>10</v>
      </c>
      <c r="P1278" s="3">
        <v>44855</v>
      </c>
      <c r="Q1278">
        <v>42</v>
      </c>
    </row>
    <row r="1279" spans="1:17" x14ac:dyDescent="0.3">
      <c r="A1279" s="1" t="s">
        <v>1811</v>
      </c>
      <c r="B1279" s="2">
        <v>44855.470138888886</v>
      </c>
      <c r="C1279" s="1" t="s">
        <v>37</v>
      </c>
      <c r="D1279" s="1" t="s">
        <v>38</v>
      </c>
      <c r="E1279" s="1" t="s">
        <v>39</v>
      </c>
      <c r="F1279" s="1" t="s">
        <v>77</v>
      </c>
      <c r="G1279" s="1" t="s">
        <v>77</v>
      </c>
      <c r="H1279" s="1" t="s">
        <v>77</v>
      </c>
      <c r="I1279" s="1" t="s">
        <v>77</v>
      </c>
      <c r="J1279" s="1" t="s">
        <v>77</v>
      </c>
      <c r="K1279" s="1" t="s">
        <v>77</v>
      </c>
      <c r="L1279">
        <v>20221021111704</v>
      </c>
      <c r="M1279" s="1" t="s">
        <v>1812</v>
      </c>
      <c r="N1279" s="1" t="s">
        <v>84</v>
      </c>
      <c r="O1279">
        <v>10</v>
      </c>
      <c r="P1279" s="3">
        <v>44855</v>
      </c>
      <c r="Q1279">
        <v>42</v>
      </c>
    </row>
    <row r="1280" spans="1:17" x14ac:dyDescent="0.3">
      <c r="A1280" s="1" t="s">
        <v>1811</v>
      </c>
      <c r="B1280" s="2">
        <v>44855.470138888886</v>
      </c>
      <c r="C1280" s="1" t="s">
        <v>37</v>
      </c>
      <c r="D1280" s="1" t="s">
        <v>41</v>
      </c>
      <c r="E1280" s="1" t="s">
        <v>42</v>
      </c>
      <c r="F1280" s="1" t="s">
        <v>77</v>
      </c>
      <c r="G1280" s="1" t="s">
        <v>77</v>
      </c>
      <c r="H1280" s="1" t="s">
        <v>77</v>
      </c>
      <c r="I1280" s="1" t="s">
        <v>77</v>
      </c>
      <c r="J1280" s="1" t="s">
        <v>77</v>
      </c>
      <c r="K1280" s="1" t="s">
        <v>77</v>
      </c>
      <c r="L1280">
        <v>20221021111709</v>
      </c>
      <c r="M1280" s="1" t="s">
        <v>1813</v>
      </c>
      <c r="N1280" s="1" t="s">
        <v>84</v>
      </c>
      <c r="O1280">
        <v>10</v>
      </c>
      <c r="P1280" s="3">
        <v>44855</v>
      </c>
      <c r="Q1280">
        <v>42</v>
      </c>
    </row>
    <row r="1281" spans="1:17" x14ac:dyDescent="0.3">
      <c r="A1281" s="1" t="s">
        <v>1811</v>
      </c>
      <c r="B1281" s="2">
        <v>44855.470138888886</v>
      </c>
      <c r="C1281" s="1" t="s">
        <v>37</v>
      </c>
      <c r="D1281" s="1" t="s">
        <v>44</v>
      </c>
      <c r="E1281" s="1" t="s">
        <v>45</v>
      </c>
      <c r="F1281" s="1" t="s">
        <v>77</v>
      </c>
      <c r="G1281" s="1" t="s">
        <v>77</v>
      </c>
      <c r="H1281" s="1" t="s">
        <v>77</v>
      </c>
      <c r="I1281" s="1" t="s">
        <v>77</v>
      </c>
      <c r="J1281" s="1" t="s">
        <v>77</v>
      </c>
      <c r="K1281" s="1" t="s">
        <v>77</v>
      </c>
      <c r="L1281">
        <v>20221021111715</v>
      </c>
      <c r="M1281" s="1" t="s">
        <v>1814</v>
      </c>
      <c r="N1281" s="1" t="s">
        <v>84</v>
      </c>
      <c r="O1281">
        <v>10</v>
      </c>
      <c r="P1281" s="3">
        <v>44855</v>
      </c>
      <c r="Q1281">
        <v>42</v>
      </c>
    </row>
    <row r="1282" spans="1:17" x14ac:dyDescent="0.3">
      <c r="A1282" s="1" t="s">
        <v>1811</v>
      </c>
      <c r="B1282" s="2">
        <v>44855.470138888886</v>
      </c>
      <c r="C1282" s="1" t="s">
        <v>37</v>
      </c>
      <c r="D1282" s="1" t="s">
        <v>47</v>
      </c>
      <c r="E1282" s="1" t="s">
        <v>51</v>
      </c>
      <c r="F1282" s="1" t="s">
        <v>77</v>
      </c>
      <c r="G1282" s="1" t="s">
        <v>77</v>
      </c>
      <c r="H1282" s="1" t="s">
        <v>77</v>
      </c>
      <c r="I1282" s="1" t="s">
        <v>77</v>
      </c>
      <c r="J1282" s="1" t="s">
        <v>77</v>
      </c>
      <c r="K1282" s="1" t="s">
        <v>77</v>
      </c>
      <c r="L1282">
        <v>20221021111721</v>
      </c>
      <c r="M1282" s="1" t="s">
        <v>1815</v>
      </c>
      <c r="N1282" s="1" t="s">
        <v>84</v>
      </c>
      <c r="O1282">
        <v>10</v>
      </c>
      <c r="P1282" s="3">
        <v>44855</v>
      </c>
      <c r="Q1282">
        <v>42</v>
      </c>
    </row>
    <row r="1283" spans="1:17" x14ac:dyDescent="0.3">
      <c r="A1283" s="1" t="s">
        <v>1811</v>
      </c>
      <c r="B1283" s="2">
        <v>44855.470138888886</v>
      </c>
      <c r="C1283" s="1" t="s">
        <v>37</v>
      </c>
      <c r="D1283" s="1" t="s">
        <v>47</v>
      </c>
      <c r="E1283" s="1" t="s">
        <v>536</v>
      </c>
      <c r="F1283" s="1" t="s">
        <v>77</v>
      </c>
      <c r="G1283" s="1" t="s">
        <v>77</v>
      </c>
      <c r="H1283" s="1" t="s">
        <v>77</v>
      </c>
      <c r="I1283" s="1" t="s">
        <v>77</v>
      </c>
      <c r="J1283" s="1" t="s">
        <v>77</v>
      </c>
      <c r="K1283" s="1" t="s">
        <v>77</v>
      </c>
      <c r="L1283">
        <v>20221021111727</v>
      </c>
      <c r="M1283" s="1" t="s">
        <v>1816</v>
      </c>
      <c r="N1283" s="1" t="s">
        <v>84</v>
      </c>
      <c r="O1283">
        <v>10</v>
      </c>
      <c r="P1283" s="3">
        <v>44855</v>
      </c>
      <c r="Q1283">
        <v>42</v>
      </c>
    </row>
    <row r="1284" spans="1:17" x14ac:dyDescent="0.3">
      <c r="A1284" s="1" t="s">
        <v>1811</v>
      </c>
      <c r="B1284" s="2">
        <v>44855.470138888886</v>
      </c>
      <c r="C1284" s="1" t="s">
        <v>37</v>
      </c>
      <c r="D1284" s="1" t="s">
        <v>53</v>
      </c>
      <c r="E1284" s="1" t="s">
        <v>54</v>
      </c>
      <c r="F1284" s="1" t="s">
        <v>77</v>
      </c>
      <c r="G1284" s="1" t="s">
        <v>77</v>
      </c>
      <c r="H1284" s="1" t="s">
        <v>77</v>
      </c>
      <c r="I1284" s="1" t="s">
        <v>77</v>
      </c>
      <c r="J1284" s="1" t="s">
        <v>77</v>
      </c>
      <c r="K1284" s="1" t="s">
        <v>77</v>
      </c>
      <c r="L1284">
        <v>20221021111733</v>
      </c>
      <c r="M1284" s="1" t="s">
        <v>1817</v>
      </c>
      <c r="N1284" s="1" t="s">
        <v>84</v>
      </c>
      <c r="O1284">
        <v>10</v>
      </c>
      <c r="P1284" s="3">
        <v>44855</v>
      </c>
      <c r="Q1284">
        <v>42</v>
      </c>
    </row>
    <row r="1285" spans="1:17" x14ac:dyDescent="0.3">
      <c r="A1285" s="1" t="s">
        <v>1811</v>
      </c>
      <c r="B1285" s="2">
        <v>44855.470138888886</v>
      </c>
      <c r="C1285" s="1" t="s">
        <v>37</v>
      </c>
      <c r="D1285" s="1" t="s">
        <v>53</v>
      </c>
      <c r="E1285" s="1" t="s">
        <v>56</v>
      </c>
      <c r="F1285" s="1" t="s">
        <v>77</v>
      </c>
      <c r="G1285" s="1" t="s">
        <v>77</v>
      </c>
      <c r="H1285" s="1" t="s">
        <v>77</v>
      </c>
      <c r="I1285" s="1" t="s">
        <v>77</v>
      </c>
      <c r="J1285" s="1" t="s">
        <v>77</v>
      </c>
      <c r="K1285" s="1" t="s">
        <v>77</v>
      </c>
      <c r="L1285">
        <v>20221021111738</v>
      </c>
      <c r="M1285" s="1" t="s">
        <v>1818</v>
      </c>
      <c r="N1285" s="1" t="s">
        <v>84</v>
      </c>
      <c r="O1285">
        <v>10</v>
      </c>
      <c r="P1285" s="3">
        <v>44855</v>
      </c>
      <c r="Q1285">
        <v>42</v>
      </c>
    </row>
    <row r="1286" spans="1:17" x14ac:dyDescent="0.3">
      <c r="A1286" s="1" t="s">
        <v>1811</v>
      </c>
      <c r="B1286" s="2">
        <v>44855.470138888886</v>
      </c>
      <c r="C1286" s="1" t="s">
        <v>37</v>
      </c>
      <c r="D1286" s="1" t="s">
        <v>19</v>
      </c>
      <c r="E1286" s="1" t="s">
        <v>58</v>
      </c>
      <c r="F1286" s="1" t="s">
        <v>77</v>
      </c>
      <c r="G1286" s="1" t="s">
        <v>77</v>
      </c>
      <c r="H1286" s="1" t="s">
        <v>77</v>
      </c>
      <c r="I1286" s="1" t="s">
        <v>77</v>
      </c>
      <c r="J1286" s="1" t="s">
        <v>77</v>
      </c>
      <c r="K1286" s="1" t="s">
        <v>77</v>
      </c>
      <c r="L1286">
        <v>20221021111744</v>
      </c>
      <c r="M1286" s="1" t="s">
        <v>1819</v>
      </c>
      <c r="N1286" s="1" t="s">
        <v>84</v>
      </c>
      <c r="O1286">
        <v>10</v>
      </c>
      <c r="P1286" s="3">
        <v>44855</v>
      </c>
      <c r="Q1286">
        <v>42</v>
      </c>
    </row>
    <row r="1287" spans="1:17" x14ac:dyDescent="0.3">
      <c r="A1287" s="1" t="s">
        <v>1811</v>
      </c>
      <c r="B1287" s="2">
        <v>44855.470138888886</v>
      </c>
      <c r="C1287" s="1" t="s">
        <v>37</v>
      </c>
      <c r="D1287" s="1" t="s">
        <v>60</v>
      </c>
      <c r="E1287" s="1" t="s">
        <v>61</v>
      </c>
      <c r="F1287" s="1" t="s">
        <v>77</v>
      </c>
      <c r="G1287" s="1" t="s">
        <v>77</v>
      </c>
      <c r="H1287" s="1" t="s">
        <v>77</v>
      </c>
      <c r="I1287" s="1" t="s">
        <v>77</v>
      </c>
      <c r="J1287" s="1" t="s">
        <v>77</v>
      </c>
      <c r="K1287" s="1" t="s">
        <v>77</v>
      </c>
      <c r="L1287">
        <v>20221021111750</v>
      </c>
      <c r="M1287" s="1" t="s">
        <v>1820</v>
      </c>
      <c r="N1287" s="1" t="s">
        <v>84</v>
      </c>
      <c r="O1287">
        <v>10</v>
      </c>
      <c r="P1287" s="3">
        <v>44855</v>
      </c>
      <c r="Q1287">
        <v>42</v>
      </c>
    </row>
    <row r="1288" spans="1:17" x14ac:dyDescent="0.3">
      <c r="A1288" s="1" t="s">
        <v>1811</v>
      </c>
      <c r="B1288" s="2">
        <v>44855.470833333333</v>
      </c>
      <c r="C1288" s="1" t="s">
        <v>37</v>
      </c>
      <c r="D1288" s="1" t="s">
        <v>29</v>
      </c>
      <c r="E1288" s="1" t="s">
        <v>30</v>
      </c>
      <c r="F1288" s="1" t="s">
        <v>77</v>
      </c>
      <c r="G1288" s="1" t="s">
        <v>77</v>
      </c>
      <c r="H1288" s="1" t="s">
        <v>77</v>
      </c>
      <c r="I1288" s="1" t="s">
        <v>77</v>
      </c>
      <c r="J1288" s="1" t="s">
        <v>77</v>
      </c>
      <c r="K1288" s="1" t="s">
        <v>77</v>
      </c>
      <c r="L1288">
        <v>20221021111758</v>
      </c>
      <c r="M1288" s="1" t="s">
        <v>1821</v>
      </c>
      <c r="N1288" s="1" t="s">
        <v>84</v>
      </c>
      <c r="O1288">
        <v>10</v>
      </c>
      <c r="P1288" s="3">
        <v>44855</v>
      </c>
      <c r="Q1288">
        <v>42</v>
      </c>
    </row>
    <row r="1289" spans="1:17" x14ac:dyDescent="0.3">
      <c r="A1289" s="1" t="s">
        <v>1822</v>
      </c>
      <c r="B1289" s="2">
        <v>44855.470833333333</v>
      </c>
      <c r="C1289" s="1" t="s">
        <v>37</v>
      </c>
      <c r="D1289" s="1" t="s">
        <v>29</v>
      </c>
      <c r="E1289" s="1" t="s">
        <v>554</v>
      </c>
      <c r="F1289" s="1" t="s">
        <v>77</v>
      </c>
      <c r="G1289" s="1" t="s">
        <v>77</v>
      </c>
      <c r="H1289" s="1" t="s">
        <v>77</v>
      </c>
      <c r="I1289" s="1" t="s">
        <v>77</v>
      </c>
      <c r="J1289" s="1" t="s">
        <v>77</v>
      </c>
      <c r="K1289" s="1" t="s">
        <v>77</v>
      </c>
      <c r="L1289">
        <v>20221021111804</v>
      </c>
      <c r="M1289" s="1" t="s">
        <v>1823</v>
      </c>
      <c r="N1289" s="1" t="s">
        <v>84</v>
      </c>
      <c r="O1289">
        <v>10</v>
      </c>
      <c r="P1289" s="3">
        <v>44855</v>
      </c>
      <c r="Q1289">
        <v>42</v>
      </c>
    </row>
    <row r="1290" spans="1:17" x14ac:dyDescent="0.3">
      <c r="A1290" s="1" t="s">
        <v>1824</v>
      </c>
      <c r="B1290" s="2">
        <v>44856.4375</v>
      </c>
      <c r="C1290" s="1" t="s">
        <v>37</v>
      </c>
      <c r="D1290" s="1" t="s">
        <v>26</v>
      </c>
      <c r="E1290" s="1" t="s">
        <v>27</v>
      </c>
      <c r="F1290" s="1" t="s">
        <v>77</v>
      </c>
      <c r="G1290" s="1" t="s">
        <v>77</v>
      </c>
      <c r="H1290" s="1" t="s">
        <v>77</v>
      </c>
      <c r="I1290" s="1" t="s">
        <v>77</v>
      </c>
      <c r="J1290" s="1" t="s">
        <v>77</v>
      </c>
      <c r="K1290" s="1" t="s">
        <v>77</v>
      </c>
      <c r="L1290">
        <v>20221022102950</v>
      </c>
      <c r="M1290" s="1" t="s">
        <v>1825</v>
      </c>
      <c r="N1290" s="1" t="s">
        <v>101</v>
      </c>
      <c r="O1290">
        <v>10</v>
      </c>
      <c r="P1290" s="3">
        <v>44856</v>
      </c>
      <c r="Q1290">
        <v>42</v>
      </c>
    </row>
    <row r="1291" spans="1:17" x14ac:dyDescent="0.3">
      <c r="A1291" s="1" t="s">
        <v>1826</v>
      </c>
      <c r="B1291" s="2">
        <v>44856.4375</v>
      </c>
      <c r="C1291" s="1" t="s">
        <v>37</v>
      </c>
      <c r="D1291" s="1" t="s">
        <v>195</v>
      </c>
      <c r="E1291" s="1" t="s">
        <v>21</v>
      </c>
      <c r="F1291" s="1" t="s">
        <v>77</v>
      </c>
      <c r="G1291" s="1" t="s">
        <v>77</v>
      </c>
      <c r="H1291" s="1" t="s">
        <v>77</v>
      </c>
      <c r="I1291" s="1" t="s">
        <v>77</v>
      </c>
      <c r="J1291" s="1" t="s">
        <v>77</v>
      </c>
      <c r="K1291" s="1" t="s">
        <v>77</v>
      </c>
      <c r="L1291">
        <v>20221022103018</v>
      </c>
      <c r="M1291" s="1" t="s">
        <v>1827</v>
      </c>
      <c r="N1291" s="1" t="s">
        <v>101</v>
      </c>
      <c r="O1291">
        <v>10</v>
      </c>
      <c r="P1291" s="3">
        <v>44856</v>
      </c>
      <c r="Q1291">
        <v>42</v>
      </c>
    </row>
    <row r="1292" spans="1:17" x14ac:dyDescent="0.3">
      <c r="A1292" s="1" t="s">
        <v>1826</v>
      </c>
      <c r="B1292" s="2">
        <v>44856.4375</v>
      </c>
      <c r="C1292" s="1" t="s">
        <v>37</v>
      </c>
      <c r="D1292" s="1" t="s">
        <v>38</v>
      </c>
      <c r="E1292" s="1" t="s">
        <v>39</v>
      </c>
      <c r="F1292" s="1" t="s">
        <v>77</v>
      </c>
      <c r="G1292" s="1" t="s">
        <v>77</v>
      </c>
      <c r="H1292" s="1" t="s">
        <v>77</v>
      </c>
      <c r="I1292" s="1" t="s">
        <v>77</v>
      </c>
      <c r="J1292" s="1" t="s">
        <v>77</v>
      </c>
      <c r="K1292" s="1" t="s">
        <v>77</v>
      </c>
      <c r="L1292">
        <v>20221022103024</v>
      </c>
      <c r="M1292" s="1" t="s">
        <v>1828</v>
      </c>
      <c r="N1292" s="1" t="s">
        <v>101</v>
      </c>
      <c r="O1292">
        <v>10</v>
      </c>
      <c r="P1292" s="3">
        <v>44856</v>
      </c>
      <c r="Q1292">
        <v>42</v>
      </c>
    </row>
    <row r="1293" spans="1:17" x14ac:dyDescent="0.3">
      <c r="A1293" s="1" t="s">
        <v>1829</v>
      </c>
      <c r="B1293" s="2">
        <v>44856.438888888886</v>
      </c>
      <c r="C1293" s="1" t="s">
        <v>37</v>
      </c>
      <c r="D1293" s="1" t="s">
        <v>41</v>
      </c>
      <c r="E1293" s="1" t="s">
        <v>42</v>
      </c>
      <c r="F1293" s="1" t="s">
        <v>77</v>
      </c>
      <c r="G1293" s="1" t="s">
        <v>77</v>
      </c>
      <c r="H1293" s="1" t="s">
        <v>77</v>
      </c>
      <c r="I1293" s="1" t="s">
        <v>77</v>
      </c>
      <c r="J1293" s="1" t="s">
        <v>77</v>
      </c>
      <c r="K1293" s="1" t="s">
        <v>77</v>
      </c>
      <c r="L1293">
        <v>20221022103119</v>
      </c>
      <c r="M1293" s="1" t="s">
        <v>1830</v>
      </c>
      <c r="N1293" s="1" t="s">
        <v>101</v>
      </c>
      <c r="O1293">
        <v>10</v>
      </c>
      <c r="P1293" s="3">
        <v>44856</v>
      </c>
      <c r="Q1293">
        <v>42</v>
      </c>
    </row>
    <row r="1294" spans="1:17" x14ac:dyDescent="0.3">
      <c r="A1294" s="1" t="s">
        <v>1831</v>
      </c>
      <c r="B1294" s="2">
        <v>44856.438888888886</v>
      </c>
      <c r="C1294" s="1" t="s">
        <v>37</v>
      </c>
      <c r="D1294" s="1" t="s">
        <v>44</v>
      </c>
      <c r="E1294" s="1" t="s">
        <v>45</v>
      </c>
      <c r="F1294" s="1" t="s">
        <v>77</v>
      </c>
      <c r="G1294" s="1" t="s">
        <v>77</v>
      </c>
      <c r="H1294" s="1" t="s">
        <v>77</v>
      </c>
      <c r="I1294" s="1" t="s">
        <v>77</v>
      </c>
      <c r="J1294" s="1" t="s">
        <v>77</v>
      </c>
      <c r="K1294" s="1" t="s">
        <v>77</v>
      </c>
      <c r="L1294">
        <v>20221022103216</v>
      </c>
      <c r="M1294" s="1" t="s">
        <v>1832</v>
      </c>
      <c r="N1294" s="1" t="s">
        <v>101</v>
      </c>
      <c r="O1294">
        <v>10</v>
      </c>
      <c r="P1294" s="3">
        <v>44856</v>
      </c>
      <c r="Q1294">
        <v>42</v>
      </c>
    </row>
    <row r="1295" spans="1:17" x14ac:dyDescent="0.3">
      <c r="A1295" s="1" t="s">
        <v>1831</v>
      </c>
      <c r="B1295" s="2">
        <v>44856.438888888886</v>
      </c>
      <c r="C1295" s="1" t="s">
        <v>37</v>
      </c>
      <c r="D1295" s="1" t="s">
        <v>47</v>
      </c>
      <c r="E1295" s="1" t="s">
        <v>51</v>
      </c>
      <c r="F1295" s="1" t="s">
        <v>77</v>
      </c>
      <c r="G1295" s="1" t="s">
        <v>77</v>
      </c>
      <c r="H1295" s="1" t="s">
        <v>77</v>
      </c>
      <c r="I1295" s="1" t="s">
        <v>77</v>
      </c>
      <c r="J1295" s="1" t="s">
        <v>77</v>
      </c>
      <c r="K1295" s="1" t="s">
        <v>77</v>
      </c>
      <c r="L1295">
        <v>20221022103223</v>
      </c>
      <c r="M1295" s="1" t="s">
        <v>1833</v>
      </c>
      <c r="N1295" s="1" t="s">
        <v>101</v>
      </c>
      <c r="O1295">
        <v>10</v>
      </c>
      <c r="P1295" s="3">
        <v>44856</v>
      </c>
      <c r="Q1295">
        <v>42</v>
      </c>
    </row>
    <row r="1296" spans="1:17" x14ac:dyDescent="0.3">
      <c r="A1296" s="1" t="s">
        <v>1831</v>
      </c>
      <c r="B1296" s="2">
        <v>44856.438888888886</v>
      </c>
      <c r="C1296" s="1" t="s">
        <v>37</v>
      </c>
      <c r="D1296" s="1" t="s">
        <v>47</v>
      </c>
      <c r="E1296" s="1" t="s">
        <v>536</v>
      </c>
      <c r="F1296" s="1" t="s">
        <v>77</v>
      </c>
      <c r="G1296" s="1" t="s">
        <v>77</v>
      </c>
      <c r="H1296" s="1" t="s">
        <v>77</v>
      </c>
      <c r="I1296" s="1" t="s">
        <v>77</v>
      </c>
      <c r="J1296" s="1" t="s">
        <v>77</v>
      </c>
      <c r="K1296" s="1" t="s">
        <v>77</v>
      </c>
      <c r="L1296">
        <v>20221022103233</v>
      </c>
      <c r="M1296" s="1" t="s">
        <v>1834</v>
      </c>
      <c r="N1296" s="1" t="s">
        <v>101</v>
      </c>
      <c r="O1296">
        <v>10</v>
      </c>
      <c r="P1296" s="3">
        <v>44856</v>
      </c>
      <c r="Q1296">
        <v>42</v>
      </c>
    </row>
    <row r="1297" spans="1:17" x14ac:dyDescent="0.3">
      <c r="A1297" s="1" t="s">
        <v>1831</v>
      </c>
      <c r="B1297" s="2">
        <v>44856.438888888886</v>
      </c>
      <c r="C1297" s="1" t="s">
        <v>37</v>
      </c>
      <c r="D1297" s="1" t="s">
        <v>53</v>
      </c>
      <c r="E1297" s="1" t="s">
        <v>54</v>
      </c>
      <c r="F1297" s="1" t="s">
        <v>77</v>
      </c>
      <c r="G1297" s="1" t="s">
        <v>77</v>
      </c>
      <c r="H1297" s="1" t="s">
        <v>77</v>
      </c>
      <c r="I1297" s="1" t="s">
        <v>77</v>
      </c>
      <c r="J1297" s="1" t="s">
        <v>77</v>
      </c>
      <c r="K1297" s="1" t="s">
        <v>77</v>
      </c>
      <c r="L1297">
        <v>20221022103243</v>
      </c>
      <c r="M1297" s="1" t="s">
        <v>1835</v>
      </c>
      <c r="N1297" s="1" t="s">
        <v>101</v>
      </c>
      <c r="O1297">
        <v>10</v>
      </c>
      <c r="P1297" s="3">
        <v>44856</v>
      </c>
      <c r="Q1297">
        <v>42</v>
      </c>
    </row>
    <row r="1298" spans="1:17" x14ac:dyDescent="0.3">
      <c r="A1298" s="1" t="s">
        <v>1831</v>
      </c>
      <c r="B1298" s="2">
        <v>44856.439583333333</v>
      </c>
      <c r="C1298" s="1" t="s">
        <v>37</v>
      </c>
      <c r="D1298" s="1" t="s">
        <v>60</v>
      </c>
      <c r="E1298" s="1" t="s">
        <v>61</v>
      </c>
      <c r="F1298" s="1" t="s">
        <v>77</v>
      </c>
      <c r="G1298" s="1" t="s">
        <v>77</v>
      </c>
      <c r="H1298" s="1" t="s">
        <v>77</v>
      </c>
      <c r="I1298" s="1" t="s">
        <v>77</v>
      </c>
      <c r="J1298" s="1" t="s">
        <v>77</v>
      </c>
      <c r="K1298" s="1" t="s">
        <v>77</v>
      </c>
      <c r="L1298">
        <v>20221022103259</v>
      </c>
      <c r="M1298" s="1" t="s">
        <v>1836</v>
      </c>
      <c r="N1298" s="1" t="s">
        <v>101</v>
      </c>
      <c r="O1298">
        <v>10</v>
      </c>
      <c r="P1298" s="3">
        <v>44856</v>
      </c>
      <c r="Q1298">
        <v>42</v>
      </c>
    </row>
    <row r="1299" spans="1:17" x14ac:dyDescent="0.3">
      <c r="A1299" s="1" t="s">
        <v>1837</v>
      </c>
      <c r="B1299" s="2">
        <v>44856.439583333333</v>
      </c>
      <c r="C1299" s="1" t="s">
        <v>18</v>
      </c>
      <c r="D1299" s="1" t="s">
        <v>53</v>
      </c>
      <c r="E1299" s="1" t="s">
        <v>77</v>
      </c>
      <c r="F1299" s="1" t="s">
        <v>77</v>
      </c>
      <c r="G1299" s="1" t="s">
        <v>77</v>
      </c>
      <c r="H1299" s="1" t="s">
        <v>77</v>
      </c>
      <c r="I1299" s="1" t="s">
        <v>77</v>
      </c>
      <c r="J1299" s="1" t="s">
        <v>56</v>
      </c>
      <c r="K1299" s="1" t="s">
        <v>309</v>
      </c>
      <c r="L1299">
        <v>20221022103321</v>
      </c>
      <c r="M1299" s="1" t="s">
        <v>1838</v>
      </c>
      <c r="N1299" s="1" t="s">
        <v>101</v>
      </c>
      <c r="O1299">
        <v>10</v>
      </c>
      <c r="P1299" s="3">
        <v>44856</v>
      </c>
      <c r="Q1299">
        <v>42</v>
      </c>
    </row>
    <row r="1300" spans="1:17" x14ac:dyDescent="0.3">
      <c r="A1300" s="1" t="s">
        <v>1837</v>
      </c>
      <c r="B1300" s="2">
        <v>44856.439583333333</v>
      </c>
      <c r="C1300" s="1" t="s">
        <v>18</v>
      </c>
      <c r="D1300" s="1" t="s">
        <v>29</v>
      </c>
      <c r="E1300" s="1" t="s">
        <v>77</v>
      </c>
      <c r="F1300" s="1" t="s">
        <v>77</v>
      </c>
      <c r="G1300" s="1" t="s">
        <v>77</v>
      </c>
      <c r="H1300" s="1" t="s">
        <v>77</v>
      </c>
      <c r="I1300" s="1" t="s">
        <v>77</v>
      </c>
      <c r="J1300" s="1" t="s">
        <v>30</v>
      </c>
      <c r="K1300" s="1" t="s">
        <v>523</v>
      </c>
      <c r="L1300">
        <v>20221022103342</v>
      </c>
      <c r="M1300" s="1" t="s">
        <v>1839</v>
      </c>
      <c r="N1300" s="1" t="s">
        <v>101</v>
      </c>
      <c r="O1300">
        <v>10</v>
      </c>
      <c r="P1300" s="3">
        <v>44856</v>
      </c>
      <c r="Q1300">
        <v>42</v>
      </c>
    </row>
    <row r="1301" spans="1:17" x14ac:dyDescent="0.3">
      <c r="A1301" s="1" t="s">
        <v>1837</v>
      </c>
      <c r="B1301" s="2">
        <v>44856.44027777778</v>
      </c>
      <c r="C1301" s="1" t="s">
        <v>18</v>
      </c>
      <c r="D1301" s="1" t="s">
        <v>29</v>
      </c>
      <c r="E1301" s="1" t="s">
        <v>77</v>
      </c>
      <c r="F1301" s="1" t="s">
        <v>77</v>
      </c>
      <c r="G1301" s="1" t="s">
        <v>77</v>
      </c>
      <c r="H1301" s="1" t="s">
        <v>77</v>
      </c>
      <c r="I1301" s="1" t="s">
        <v>77</v>
      </c>
      <c r="J1301" s="1" t="s">
        <v>554</v>
      </c>
      <c r="K1301" s="1" t="s">
        <v>523</v>
      </c>
      <c r="L1301">
        <v>20221022103355</v>
      </c>
      <c r="M1301" s="1" t="s">
        <v>1840</v>
      </c>
      <c r="N1301" s="1" t="s">
        <v>101</v>
      </c>
      <c r="O1301">
        <v>10</v>
      </c>
      <c r="P1301" s="3">
        <v>44856</v>
      </c>
      <c r="Q1301">
        <v>42</v>
      </c>
    </row>
    <row r="1302" spans="1:17" x14ac:dyDescent="0.3">
      <c r="A1302" s="1" t="s">
        <v>1841</v>
      </c>
      <c r="B1302" s="2">
        <v>44856.44027777778</v>
      </c>
      <c r="C1302" s="1" t="s">
        <v>18</v>
      </c>
      <c r="D1302" s="1" t="s">
        <v>19</v>
      </c>
      <c r="E1302" s="1" t="s">
        <v>77</v>
      </c>
      <c r="F1302" s="1" t="s">
        <v>77</v>
      </c>
      <c r="G1302" s="1" t="s">
        <v>77</v>
      </c>
      <c r="H1302" s="1" t="s">
        <v>77</v>
      </c>
      <c r="I1302" s="1" t="s">
        <v>77</v>
      </c>
      <c r="J1302" s="1" t="s">
        <v>58</v>
      </c>
      <c r="K1302" s="1" t="s">
        <v>309</v>
      </c>
      <c r="L1302">
        <v>20221022103410</v>
      </c>
      <c r="M1302" s="1" t="s">
        <v>1842</v>
      </c>
      <c r="N1302" s="1" t="s">
        <v>101</v>
      </c>
      <c r="O1302">
        <v>10</v>
      </c>
      <c r="P1302" s="3">
        <v>44856</v>
      </c>
      <c r="Q1302">
        <v>42</v>
      </c>
    </row>
    <row r="1303" spans="1:17" x14ac:dyDescent="0.3">
      <c r="A1303" s="1" t="s">
        <v>1843</v>
      </c>
      <c r="B1303" s="2">
        <v>44858.375694444447</v>
      </c>
      <c r="C1303" s="1" t="s">
        <v>37</v>
      </c>
      <c r="D1303" s="1" t="s">
        <v>26</v>
      </c>
      <c r="E1303" s="1" t="s">
        <v>27</v>
      </c>
      <c r="F1303" s="1" t="s">
        <v>77</v>
      </c>
      <c r="G1303" s="1" t="s">
        <v>77</v>
      </c>
      <c r="H1303" s="1" t="s">
        <v>77</v>
      </c>
      <c r="I1303" s="1" t="s">
        <v>77</v>
      </c>
      <c r="J1303" s="1" t="s">
        <v>77</v>
      </c>
      <c r="K1303" s="1" t="s">
        <v>77</v>
      </c>
      <c r="L1303">
        <v>20221024090152</v>
      </c>
      <c r="M1303" s="1" t="s">
        <v>1844</v>
      </c>
      <c r="N1303" s="1" t="s">
        <v>120</v>
      </c>
      <c r="O1303">
        <v>10</v>
      </c>
      <c r="P1303" s="3">
        <v>44858</v>
      </c>
      <c r="Q1303">
        <v>43</v>
      </c>
    </row>
    <row r="1304" spans="1:17" x14ac:dyDescent="0.3">
      <c r="A1304" s="1" t="s">
        <v>1845</v>
      </c>
      <c r="B1304" s="2">
        <v>44858.376388888886</v>
      </c>
      <c r="C1304" s="1" t="s">
        <v>37</v>
      </c>
      <c r="D1304" s="1" t="s">
        <v>195</v>
      </c>
      <c r="E1304" s="1" t="s">
        <v>21</v>
      </c>
      <c r="F1304" s="1" t="s">
        <v>77</v>
      </c>
      <c r="G1304" s="1" t="s">
        <v>77</v>
      </c>
      <c r="H1304" s="1" t="s">
        <v>77</v>
      </c>
      <c r="I1304" s="1" t="s">
        <v>77</v>
      </c>
      <c r="J1304" s="1" t="s">
        <v>77</v>
      </c>
      <c r="K1304" s="1" t="s">
        <v>77</v>
      </c>
      <c r="L1304">
        <v>20221024090201</v>
      </c>
      <c r="M1304" s="1" t="s">
        <v>1846</v>
      </c>
      <c r="N1304" s="1" t="s">
        <v>120</v>
      </c>
      <c r="O1304">
        <v>10</v>
      </c>
      <c r="P1304" s="3">
        <v>44858</v>
      </c>
      <c r="Q1304">
        <v>43</v>
      </c>
    </row>
    <row r="1305" spans="1:17" x14ac:dyDescent="0.3">
      <c r="A1305" s="1" t="s">
        <v>1845</v>
      </c>
      <c r="B1305" s="2">
        <v>44858.376388888886</v>
      </c>
      <c r="C1305" s="1" t="s">
        <v>37</v>
      </c>
      <c r="D1305" s="1" t="s">
        <v>38</v>
      </c>
      <c r="E1305" s="1" t="s">
        <v>39</v>
      </c>
      <c r="F1305" s="1" t="s">
        <v>77</v>
      </c>
      <c r="G1305" s="1" t="s">
        <v>77</v>
      </c>
      <c r="H1305" s="1" t="s">
        <v>77</v>
      </c>
      <c r="I1305" s="1" t="s">
        <v>77</v>
      </c>
      <c r="J1305" s="1" t="s">
        <v>77</v>
      </c>
      <c r="K1305" s="1" t="s">
        <v>77</v>
      </c>
      <c r="L1305">
        <v>20221024090212</v>
      </c>
      <c r="M1305" s="1" t="s">
        <v>1847</v>
      </c>
      <c r="N1305" s="1" t="s">
        <v>120</v>
      </c>
      <c r="O1305">
        <v>10</v>
      </c>
      <c r="P1305" s="3">
        <v>44858</v>
      </c>
      <c r="Q1305">
        <v>43</v>
      </c>
    </row>
    <row r="1306" spans="1:17" x14ac:dyDescent="0.3">
      <c r="A1306" s="1" t="s">
        <v>1845</v>
      </c>
      <c r="B1306" s="2">
        <v>44858.376388888886</v>
      </c>
      <c r="C1306" s="1" t="s">
        <v>37</v>
      </c>
      <c r="D1306" s="1" t="s">
        <v>41</v>
      </c>
      <c r="E1306" s="1" t="s">
        <v>42</v>
      </c>
      <c r="F1306" s="1" t="s">
        <v>77</v>
      </c>
      <c r="G1306" s="1" t="s">
        <v>77</v>
      </c>
      <c r="H1306" s="1" t="s">
        <v>77</v>
      </c>
      <c r="I1306" s="1" t="s">
        <v>77</v>
      </c>
      <c r="J1306" s="1" t="s">
        <v>77</v>
      </c>
      <c r="K1306" s="1" t="s">
        <v>77</v>
      </c>
      <c r="L1306">
        <v>20221024090218</v>
      </c>
      <c r="M1306" s="1" t="s">
        <v>1848</v>
      </c>
      <c r="N1306" s="1" t="s">
        <v>120</v>
      </c>
      <c r="O1306">
        <v>10</v>
      </c>
      <c r="P1306" s="3">
        <v>44858</v>
      </c>
      <c r="Q1306">
        <v>43</v>
      </c>
    </row>
    <row r="1307" spans="1:17" x14ac:dyDescent="0.3">
      <c r="A1307" s="1" t="s">
        <v>1845</v>
      </c>
      <c r="B1307" s="2">
        <v>44858.376388888886</v>
      </c>
      <c r="C1307" s="1" t="s">
        <v>37</v>
      </c>
      <c r="D1307" s="1" t="s">
        <v>44</v>
      </c>
      <c r="E1307" s="1" t="s">
        <v>45</v>
      </c>
      <c r="F1307" s="1" t="s">
        <v>77</v>
      </c>
      <c r="G1307" s="1" t="s">
        <v>77</v>
      </c>
      <c r="H1307" s="1" t="s">
        <v>77</v>
      </c>
      <c r="I1307" s="1" t="s">
        <v>77</v>
      </c>
      <c r="J1307" s="1" t="s">
        <v>77</v>
      </c>
      <c r="K1307" s="1" t="s">
        <v>77</v>
      </c>
      <c r="L1307">
        <v>20221024090223</v>
      </c>
      <c r="M1307" s="1" t="s">
        <v>1849</v>
      </c>
      <c r="N1307" s="1" t="s">
        <v>120</v>
      </c>
      <c r="O1307">
        <v>10</v>
      </c>
      <c r="P1307" s="3">
        <v>44858</v>
      </c>
      <c r="Q1307">
        <v>43</v>
      </c>
    </row>
    <row r="1308" spans="1:17" x14ac:dyDescent="0.3">
      <c r="A1308" s="1" t="s">
        <v>1845</v>
      </c>
      <c r="B1308" s="2">
        <v>44858.376388888886</v>
      </c>
      <c r="C1308" s="1" t="s">
        <v>37</v>
      </c>
      <c r="D1308" s="1" t="s">
        <v>47</v>
      </c>
      <c r="E1308" s="1" t="s">
        <v>51</v>
      </c>
      <c r="F1308" s="1" t="s">
        <v>77</v>
      </c>
      <c r="G1308" s="1" t="s">
        <v>77</v>
      </c>
      <c r="H1308" s="1" t="s">
        <v>77</v>
      </c>
      <c r="I1308" s="1" t="s">
        <v>77</v>
      </c>
      <c r="J1308" s="1" t="s">
        <v>77</v>
      </c>
      <c r="K1308" s="1" t="s">
        <v>77</v>
      </c>
      <c r="L1308">
        <v>20221024090231</v>
      </c>
      <c r="M1308" s="1" t="s">
        <v>1850</v>
      </c>
      <c r="N1308" s="1" t="s">
        <v>120</v>
      </c>
      <c r="O1308">
        <v>10</v>
      </c>
      <c r="P1308" s="3">
        <v>44858</v>
      </c>
      <c r="Q1308">
        <v>43</v>
      </c>
    </row>
    <row r="1309" spans="1:17" x14ac:dyDescent="0.3">
      <c r="A1309" s="1" t="s">
        <v>1845</v>
      </c>
      <c r="B1309" s="2">
        <v>44858.376388888886</v>
      </c>
      <c r="C1309" s="1" t="s">
        <v>37</v>
      </c>
      <c r="D1309" s="1" t="s">
        <v>47</v>
      </c>
      <c r="E1309" s="1" t="s">
        <v>536</v>
      </c>
      <c r="F1309" s="1" t="s">
        <v>77</v>
      </c>
      <c r="G1309" s="1" t="s">
        <v>77</v>
      </c>
      <c r="H1309" s="1" t="s">
        <v>77</v>
      </c>
      <c r="I1309" s="1" t="s">
        <v>77</v>
      </c>
      <c r="J1309" s="1" t="s">
        <v>77</v>
      </c>
      <c r="K1309" s="1" t="s">
        <v>77</v>
      </c>
      <c r="L1309">
        <v>20221024090238</v>
      </c>
      <c r="M1309" s="1" t="s">
        <v>1851</v>
      </c>
      <c r="N1309" s="1" t="s">
        <v>120</v>
      </c>
      <c r="O1309">
        <v>10</v>
      </c>
      <c r="P1309" s="3">
        <v>44858</v>
      </c>
      <c r="Q1309">
        <v>43</v>
      </c>
    </row>
    <row r="1310" spans="1:17" x14ac:dyDescent="0.3">
      <c r="A1310" s="1" t="s">
        <v>1845</v>
      </c>
      <c r="B1310" s="2">
        <v>44858.376388888886</v>
      </c>
      <c r="C1310" s="1" t="s">
        <v>37</v>
      </c>
      <c r="D1310" s="1" t="s">
        <v>53</v>
      </c>
      <c r="E1310" s="1" t="s">
        <v>54</v>
      </c>
      <c r="F1310" s="1" t="s">
        <v>77</v>
      </c>
      <c r="G1310" s="1" t="s">
        <v>77</v>
      </c>
      <c r="H1310" s="1" t="s">
        <v>77</v>
      </c>
      <c r="I1310" s="1" t="s">
        <v>77</v>
      </c>
      <c r="J1310" s="1" t="s">
        <v>77</v>
      </c>
      <c r="K1310" s="1" t="s">
        <v>77</v>
      </c>
      <c r="L1310">
        <v>20221024090244</v>
      </c>
      <c r="M1310" s="1" t="s">
        <v>1852</v>
      </c>
      <c r="N1310" s="1" t="s">
        <v>120</v>
      </c>
      <c r="O1310">
        <v>10</v>
      </c>
      <c r="P1310" s="3">
        <v>44858</v>
      </c>
      <c r="Q1310">
        <v>43</v>
      </c>
    </row>
    <row r="1311" spans="1:17" x14ac:dyDescent="0.3">
      <c r="A1311" s="1" t="s">
        <v>1845</v>
      </c>
      <c r="B1311" s="2">
        <v>44858.376388888886</v>
      </c>
      <c r="C1311" s="1" t="s">
        <v>37</v>
      </c>
      <c r="D1311" s="1" t="s">
        <v>53</v>
      </c>
      <c r="E1311" s="1" t="s">
        <v>56</v>
      </c>
      <c r="F1311" s="1" t="s">
        <v>77</v>
      </c>
      <c r="G1311" s="1" t="s">
        <v>77</v>
      </c>
      <c r="H1311" s="1" t="s">
        <v>77</v>
      </c>
      <c r="I1311" s="1" t="s">
        <v>77</v>
      </c>
      <c r="J1311" s="1" t="s">
        <v>77</v>
      </c>
      <c r="K1311" s="1" t="s">
        <v>77</v>
      </c>
      <c r="L1311">
        <v>20221024090252</v>
      </c>
      <c r="M1311" s="1" t="s">
        <v>1853</v>
      </c>
      <c r="N1311" s="1" t="s">
        <v>120</v>
      </c>
      <c r="O1311">
        <v>10</v>
      </c>
      <c r="P1311" s="3">
        <v>44858</v>
      </c>
      <c r="Q1311">
        <v>43</v>
      </c>
    </row>
    <row r="1312" spans="1:17" x14ac:dyDescent="0.3">
      <c r="A1312" s="1" t="s">
        <v>1854</v>
      </c>
      <c r="B1312" s="2">
        <v>44858.377083333333</v>
      </c>
      <c r="C1312" s="1" t="s">
        <v>37</v>
      </c>
      <c r="D1312" s="1" t="s">
        <v>19</v>
      </c>
      <c r="E1312" s="1" t="s">
        <v>58</v>
      </c>
      <c r="F1312" s="1" t="s">
        <v>77</v>
      </c>
      <c r="G1312" s="1" t="s">
        <v>77</v>
      </c>
      <c r="H1312" s="1" t="s">
        <v>77</v>
      </c>
      <c r="I1312" s="1" t="s">
        <v>77</v>
      </c>
      <c r="J1312" s="1" t="s">
        <v>77</v>
      </c>
      <c r="K1312" s="1" t="s">
        <v>77</v>
      </c>
      <c r="L1312">
        <v>20221024090300</v>
      </c>
      <c r="M1312" s="1" t="s">
        <v>1855</v>
      </c>
      <c r="N1312" s="1" t="s">
        <v>120</v>
      </c>
      <c r="O1312">
        <v>10</v>
      </c>
      <c r="P1312" s="3">
        <v>44858</v>
      </c>
      <c r="Q1312">
        <v>43</v>
      </c>
    </row>
    <row r="1313" spans="1:17" x14ac:dyDescent="0.3">
      <c r="A1313" s="1" t="s">
        <v>1854</v>
      </c>
      <c r="B1313" s="2">
        <v>44858.377083333333</v>
      </c>
      <c r="C1313" s="1" t="s">
        <v>37</v>
      </c>
      <c r="D1313" s="1" t="s">
        <v>60</v>
      </c>
      <c r="E1313" s="1" t="s">
        <v>61</v>
      </c>
      <c r="F1313" s="1" t="s">
        <v>77</v>
      </c>
      <c r="G1313" s="1" t="s">
        <v>77</v>
      </c>
      <c r="H1313" s="1" t="s">
        <v>77</v>
      </c>
      <c r="I1313" s="1" t="s">
        <v>77</v>
      </c>
      <c r="J1313" s="1" t="s">
        <v>77</v>
      </c>
      <c r="K1313" s="1" t="s">
        <v>77</v>
      </c>
      <c r="L1313">
        <v>20221024090306</v>
      </c>
      <c r="M1313" s="1" t="s">
        <v>1856</v>
      </c>
      <c r="N1313" s="1" t="s">
        <v>120</v>
      </c>
      <c r="O1313">
        <v>10</v>
      </c>
      <c r="P1313" s="3">
        <v>44858</v>
      </c>
      <c r="Q1313">
        <v>43</v>
      </c>
    </row>
    <row r="1314" spans="1:17" x14ac:dyDescent="0.3">
      <c r="A1314" s="1" t="s">
        <v>1854</v>
      </c>
      <c r="B1314" s="2">
        <v>44858.377083333333</v>
      </c>
      <c r="C1314" s="1" t="s">
        <v>37</v>
      </c>
      <c r="D1314" s="1" t="s">
        <v>29</v>
      </c>
      <c r="E1314" s="1" t="s">
        <v>30</v>
      </c>
      <c r="F1314" s="1" t="s">
        <v>77</v>
      </c>
      <c r="G1314" s="1" t="s">
        <v>77</v>
      </c>
      <c r="H1314" s="1" t="s">
        <v>77</v>
      </c>
      <c r="I1314" s="1" t="s">
        <v>77</v>
      </c>
      <c r="J1314" s="1" t="s">
        <v>77</v>
      </c>
      <c r="K1314" s="1" t="s">
        <v>77</v>
      </c>
      <c r="L1314">
        <v>20221024090313</v>
      </c>
      <c r="M1314" s="1" t="s">
        <v>1857</v>
      </c>
      <c r="N1314" s="1" t="s">
        <v>120</v>
      </c>
      <c r="O1314">
        <v>10</v>
      </c>
      <c r="P1314" s="3">
        <v>44858</v>
      </c>
      <c r="Q1314">
        <v>43</v>
      </c>
    </row>
    <row r="1315" spans="1:17" x14ac:dyDescent="0.3">
      <c r="A1315" s="1" t="s">
        <v>1854</v>
      </c>
      <c r="B1315" s="2">
        <v>44858.377083333333</v>
      </c>
      <c r="C1315" s="1" t="s">
        <v>37</v>
      </c>
      <c r="D1315" s="1" t="s">
        <v>29</v>
      </c>
      <c r="E1315" s="1" t="s">
        <v>554</v>
      </c>
      <c r="F1315" s="1" t="s">
        <v>77</v>
      </c>
      <c r="G1315" s="1" t="s">
        <v>77</v>
      </c>
      <c r="H1315" s="1" t="s">
        <v>77</v>
      </c>
      <c r="I1315" s="1" t="s">
        <v>77</v>
      </c>
      <c r="J1315" s="1" t="s">
        <v>77</v>
      </c>
      <c r="K1315" s="1" t="s">
        <v>77</v>
      </c>
      <c r="L1315">
        <v>20221024090318</v>
      </c>
      <c r="M1315" s="1" t="s">
        <v>1858</v>
      </c>
      <c r="N1315" s="1" t="s">
        <v>120</v>
      </c>
      <c r="O1315">
        <v>10</v>
      </c>
      <c r="P1315" s="3">
        <v>44858</v>
      </c>
      <c r="Q1315">
        <v>43</v>
      </c>
    </row>
    <row r="1316" spans="1:17" x14ac:dyDescent="0.3">
      <c r="A1316" s="1" t="s">
        <v>1859</v>
      </c>
      <c r="B1316" s="2">
        <v>44859.407638888886</v>
      </c>
      <c r="C1316" s="1" t="s">
        <v>37</v>
      </c>
      <c r="D1316" s="1" t="s">
        <v>26</v>
      </c>
      <c r="E1316" s="1" t="s">
        <v>27</v>
      </c>
      <c r="F1316" s="1" t="s">
        <v>77</v>
      </c>
      <c r="G1316" s="1" t="s">
        <v>77</v>
      </c>
      <c r="H1316" s="1" t="s">
        <v>77</v>
      </c>
      <c r="I1316" s="1" t="s">
        <v>77</v>
      </c>
      <c r="J1316" s="1" t="s">
        <v>77</v>
      </c>
      <c r="K1316" s="1" t="s">
        <v>77</v>
      </c>
      <c r="L1316">
        <v>20221025094751</v>
      </c>
      <c r="M1316" s="1" t="s">
        <v>1860</v>
      </c>
      <c r="N1316" s="1" t="s">
        <v>140</v>
      </c>
      <c r="O1316">
        <v>10</v>
      </c>
      <c r="P1316" s="3">
        <v>44859</v>
      </c>
      <c r="Q1316">
        <v>43</v>
      </c>
    </row>
    <row r="1317" spans="1:17" x14ac:dyDescent="0.3">
      <c r="A1317" s="1" t="s">
        <v>1859</v>
      </c>
      <c r="B1317" s="2">
        <v>44859.408333333333</v>
      </c>
      <c r="C1317" s="1" t="s">
        <v>37</v>
      </c>
      <c r="D1317" s="1" t="s">
        <v>195</v>
      </c>
      <c r="E1317" s="1" t="s">
        <v>21</v>
      </c>
      <c r="F1317" s="1" t="s">
        <v>77</v>
      </c>
      <c r="G1317" s="1" t="s">
        <v>77</v>
      </c>
      <c r="H1317" s="1" t="s">
        <v>77</v>
      </c>
      <c r="I1317" s="1" t="s">
        <v>77</v>
      </c>
      <c r="J1317" s="1" t="s">
        <v>77</v>
      </c>
      <c r="K1317" s="1" t="s">
        <v>77</v>
      </c>
      <c r="L1317">
        <v>20221025094759</v>
      </c>
      <c r="M1317" s="1" t="s">
        <v>1861</v>
      </c>
      <c r="N1317" s="1" t="s">
        <v>140</v>
      </c>
      <c r="O1317">
        <v>10</v>
      </c>
      <c r="P1317" s="3">
        <v>44859</v>
      </c>
      <c r="Q1317">
        <v>43</v>
      </c>
    </row>
    <row r="1318" spans="1:17" x14ac:dyDescent="0.3">
      <c r="A1318" s="1" t="s">
        <v>1862</v>
      </c>
      <c r="B1318" s="2">
        <v>44859.408333333333</v>
      </c>
      <c r="C1318" s="1" t="s">
        <v>37</v>
      </c>
      <c r="D1318" s="1" t="s">
        <v>38</v>
      </c>
      <c r="E1318" s="1" t="s">
        <v>39</v>
      </c>
      <c r="F1318" s="1" t="s">
        <v>77</v>
      </c>
      <c r="G1318" s="1" t="s">
        <v>77</v>
      </c>
      <c r="H1318" s="1" t="s">
        <v>77</v>
      </c>
      <c r="I1318" s="1" t="s">
        <v>77</v>
      </c>
      <c r="J1318" s="1" t="s">
        <v>77</v>
      </c>
      <c r="K1318" s="1" t="s">
        <v>77</v>
      </c>
      <c r="L1318">
        <v>20221025094806</v>
      </c>
      <c r="M1318" s="1" t="s">
        <v>1863</v>
      </c>
      <c r="N1318" s="1" t="s">
        <v>140</v>
      </c>
      <c r="O1318">
        <v>10</v>
      </c>
      <c r="P1318" s="3">
        <v>44859</v>
      </c>
      <c r="Q1318">
        <v>43</v>
      </c>
    </row>
    <row r="1319" spans="1:17" x14ac:dyDescent="0.3">
      <c r="A1319" s="1" t="s">
        <v>1862</v>
      </c>
      <c r="B1319" s="2">
        <v>44859.408333333333</v>
      </c>
      <c r="C1319" s="1" t="s">
        <v>37</v>
      </c>
      <c r="D1319" s="1" t="s">
        <v>41</v>
      </c>
      <c r="E1319" s="1" t="s">
        <v>42</v>
      </c>
      <c r="F1319" s="1" t="s">
        <v>77</v>
      </c>
      <c r="G1319" s="1" t="s">
        <v>77</v>
      </c>
      <c r="H1319" s="1" t="s">
        <v>77</v>
      </c>
      <c r="I1319" s="1" t="s">
        <v>77</v>
      </c>
      <c r="J1319" s="1" t="s">
        <v>77</v>
      </c>
      <c r="K1319" s="1" t="s">
        <v>77</v>
      </c>
      <c r="L1319">
        <v>20221025094813</v>
      </c>
      <c r="M1319" s="1" t="s">
        <v>1864</v>
      </c>
      <c r="N1319" s="1" t="s">
        <v>140</v>
      </c>
      <c r="O1319">
        <v>10</v>
      </c>
      <c r="P1319" s="3">
        <v>44859</v>
      </c>
      <c r="Q1319">
        <v>43</v>
      </c>
    </row>
    <row r="1320" spans="1:17" x14ac:dyDescent="0.3">
      <c r="A1320" s="1" t="s">
        <v>1862</v>
      </c>
      <c r="B1320" s="2">
        <v>44859.408333333333</v>
      </c>
      <c r="C1320" s="1" t="s">
        <v>37</v>
      </c>
      <c r="D1320" s="1" t="s">
        <v>44</v>
      </c>
      <c r="E1320" s="1" t="s">
        <v>45</v>
      </c>
      <c r="F1320" s="1" t="s">
        <v>77</v>
      </c>
      <c r="G1320" s="1" t="s">
        <v>77</v>
      </c>
      <c r="H1320" s="1" t="s">
        <v>77</v>
      </c>
      <c r="I1320" s="1" t="s">
        <v>77</v>
      </c>
      <c r="J1320" s="1" t="s">
        <v>77</v>
      </c>
      <c r="K1320" s="1" t="s">
        <v>77</v>
      </c>
      <c r="L1320">
        <v>20221025094819</v>
      </c>
      <c r="M1320" s="1" t="s">
        <v>1865</v>
      </c>
      <c r="N1320" s="1" t="s">
        <v>140</v>
      </c>
      <c r="O1320">
        <v>10</v>
      </c>
      <c r="P1320" s="3">
        <v>44859</v>
      </c>
      <c r="Q1320">
        <v>43</v>
      </c>
    </row>
    <row r="1321" spans="1:17" x14ac:dyDescent="0.3">
      <c r="A1321" s="1" t="s">
        <v>1862</v>
      </c>
      <c r="B1321" s="2">
        <v>44859.408333333333</v>
      </c>
      <c r="C1321" s="1" t="s">
        <v>37</v>
      </c>
      <c r="D1321" s="1" t="s">
        <v>47</v>
      </c>
      <c r="E1321" s="1" t="s">
        <v>51</v>
      </c>
      <c r="F1321" s="1" t="s">
        <v>77</v>
      </c>
      <c r="G1321" s="1" t="s">
        <v>77</v>
      </c>
      <c r="H1321" s="1" t="s">
        <v>77</v>
      </c>
      <c r="I1321" s="1" t="s">
        <v>77</v>
      </c>
      <c r="J1321" s="1" t="s">
        <v>77</v>
      </c>
      <c r="K1321" s="1" t="s">
        <v>77</v>
      </c>
      <c r="L1321">
        <v>20221025094825</v>
      </c>
      <c r="M1321" s="1" t="s">
        <v>1866</v>
      </c>
      <c r="N1321" s="1" t="s">
        <v>140</v>
      </c>
      <c r="O1321">
        <v>10</v>
      </c>
      <c r="P1321" s="3">
        <v>44859</v>
      </c>
      <c r="Q1321">
        <v>43</v>
      </c>
    </row>
    <row r="1322" spans="1:17" x14ac:dyDescent="0.3">
      <c r="A1322" s="1" t="s">
        <v>1862</v>
      </c>
      <c r="B1322" s="2">
        <v>44859.408333333333</v>
      </c>
      <c r="C1322" s="1" t="s">
        <v>37</v>
      </c>
      <c r="D1322" s="1" t="s">
        <v>47</v>
      </c>
      <c r="E1322" s="1" t="s">
        <v>536</v>
      </c>
      <c r="F1322" s="1" t="s">
        <v>77</v>
      </c>
      <c r="G1322" s="1" t="s">
        <v>77</v>
      </c>
      <c r="H1322" s="1" t="s">
        <v>77</v>
      </c>
      <c r="I1322" s="1" t="s">
        <v>77</v>
      </c>
      <c r="J1322" s="1" t="s">
        <v>77</v>
      </c>
      <c r="K1322" s="1" t="s">
        <v>77</v>
      </c>
      <c r="L1322">
        <v>20221025094831</v>
      </c>
      <c r="M1322" s="1" t="s">
        <v>1867</v>
      </c>
      <c r="N1322" s="1" t="s">
        <v>140</v>
      </c>
      <c r="O1322">
        <v>10</v>
      </c>
      <c r="P1322" s="3">
        <v>44859</v>
      </c>
      <c r="Q1322">
        <v>43</v>
      </c>
    </row>
    <row r="1323" spans="1:17" x14ac:dyDescent="0.3">
      <c r="A1323" s="1" t="s">
        <v>1862</v>
      </c>
      <c r="B1323" s="2">
        <v>44859.408333333333</v>
      </c>
      <c r="C1323" s="1" t="s">
        <v>37</v>
      </c>
      <c r="D1323" s="1" t="s">
        <v>53</v>
      </c>
      <c r="E1323" s="1" t="s">
        <v>54</v>
      </c>
      <c r="F1323" s="1" t="s">
        <v>77</v>
      </c>
      <c r="G1323" s="1" t="s">
        <v>77</v>
      </c>
      <c r="H1323" s="1" t="s">
        <v>77</v>
      </c>
      <c r="I1323" s="1" t="s">
        <v>77</v>
      </c>
      <c r="J1323" s="1" t="s">
        <v>77</v>
      </c>
      <c r="K1323" s="1" t="s">
        <v>77</v>
      </c>
      <c r="L1323">
        <v>20221025094838</v>
      </c>
      <c r="M1323" s="1" t="s">
        <v>1868</v>
      </c>
      <c r="N1323" s="1" t="s">
        <v>140</v>
      </c>
      <c r="O1323">
        <v>10</v>
      </c>
      <c r="P1323" s="3">
        <v>44859</v>
      </c>
      <c r="Q1323">
        <v>43</v>
      </c>
    </row>
    <row r="1324" spans="1:17" x14ac:dyDescent="0.3">
      <c r="A1324" s="1" t="s">
        <v>1862</v>
      </c>
      <c r="B1324" s="2">
        <v>44859.408333333333</v>
      </c>
      <c r="C1324" s="1" t="s">
        <v>37</v>
      </c>
      <c r="D1324" s="1" t="s">
        <v>53</v>
      </c>
      <c r="E1324" s="1" t="s">
        <v>56</v>
      </c>
      <c r="F1324" s="1" t="s">
        <v>77</v>
      </c>
      <c r="G1324" s="1" t="s">
        <v>77</v>
      </c>
      <c r="H1324" s="1" t="s">
        <v>77</v>
      </c>
      <c r="I1324" s="1" t="s">
        <v>77</v>
      </c>
      <c r="J1324" s="1" t="s">
        <v>77</v>
      </c>
      <c r="K1324" s="1" t="s">
        <v>77</v>
      </c>
      <c r="L1324">
        <v>20221025094846</v>
      </c>
      <c r="M1324" s="1" t="s">
        <v>1869</v>
      </c>
      <c r="N1324" s="1" t="s">
        <v>140</v>
      </c>
      <c r="O1324">
        <v>10</v>
      </c>
      <c r="P1324" s="3">
        <v>44859</v>
      </c>
      <c r="Q1324">
        <v>43</v>
      </c>
    </row>
    <row r="1325" spans="1:17" x14ac:dyDescent="0.3">
      <c r="A1325" s="1" t="s">
        <v>1862</v>
      </c>
      <c r="B1325" s="2">
        <v>44859.40902777778</v>
      </c>
      <c r="C1325" s="1" t="s">
        <v>37</v>
      </c>
      <c r="D1325" s="1" t="s">
        <v>19</v>
      </c>
      <c r="E1325" s="1" t="s">
        <v>58</v>
      </c>
      <c r="F1325" s="1" t="s">
        <v>77</v>
      </c>
      <c r="G1325" s="1" t="s">
        <v>77</v>
      </c>
      <c r="H1325" s="1" t="s">
        <v>77</v>
      </c>
      <c r="I1325" s="1" t="s">
        <v>77</v>
      </c>
      <c r="J1325" s="1" t="s">
        <v>77</v>
      </c>
      <c r="K1325" s="1" t="s">
        <v>77</v>
      </c>
      <c r="L1325">
        <v>20221025094859</v>
      </c>
      <c r="M1325" s="1" t="s">
        <v>1870</v>
      </c>
      <c r="N1325" s="1" t="s">
        <v>140</v>
      </c>
      <c r="O1325">
        <v>10</v>
      </c>
      <c r="P1325" s="3">
        <v>44859</v>
      </c>
      <c r="Q1325">
        <v>43</v>
      </c>
    </row>
    <row r="1326" spans="1:17" x14ac:dyDescent="0.3">
      <c r="A1326" s="1" t="s">
        <v>1871</v>
      </c>
      <c r="B1326" s="2">
        <v>44859.40902777778</v>
      </c>
      <c r="C1326" s="1" t="s">
        <v>37</v>
      </c>
      <c r="D1326" s="1" t="s">
        <v>60</v>
      </c>
      <c r="E1326" s="1" t="s">
        <v>61</v>
      </c>
      <c r="F1326" s="1" t="s">
        <v>77</v>
      </c>
      <c r="G1326" s="1" t="s">
        <v>77</v>
      </c>
      <c r="H1326" s="1" t="s">
        <v>77</v>
      </c>
      <c r="I1326" s="1" t="s">
        <v>77</v>
      </c>
      <c r="J1326" s="1" t="s">
        <v>77</v>
      </c>
      <c r="K1326" s="1" t="s">
        <v>77</v>
      </c>
      <c r="L1326">
        <v>20221025094907</v>
      </c>
      <c r="M1326" s="1" t="s">
        <v>1872</v>
      </c>
      <c r="N1326" s="1" t="s">
        <v>140</v>
      </c>
      <c r="O1326">
        <v>10</v>
      </c>
      <c r="P1326" s="3">
        <v>44859</v>
      </c>
      <c r="Q1326">
        <v>43</v>
      </c>
    </row>
    <row r="1327" spans="1:17" x14ac:dyDescent="0.3">
      <c r="A1327" s="1" t="s">
        <v>1871</v>
      </c>
      <c r="B1327" s="2">
        <v>44859.40902777778</v>
      </c>
      <c r="C1327" s="1" t="s">
        <v>37</v>
      </c>
      <c r="D1327" s="1" t="s">
        <v>29</v>
      </c>
      <c r="E1327" s="1" t="s">
        <v>30</v>
      </c>
      <c r="F1327" s="1" t="s">
        <v>77</v>
      </c>
      <c r="G1327" s="1" t="s">
        <v>77</v>
      </c>
      <c r="H1327" s="1" t="s">
        <v>77</v>
      </c>
      <c r="I1327" s="1" t="s">
        <v>77</v>
      </c>
      <c r="J1327" s="1" t="s">
        <v>77</v>
      </c>
      <c r="K1327" s="1" t="s">
        <v>77</v>
      </c>
      <c r="L1327">
        <v>20221025094913</v>
      </c>
      <c r="M1327" s="1" t="s">
        <v>1873</v>
      </c>
      <c r="N1327" s="1" t="s">
        <v>140</v>
      </c>
      <c r="O1327">
        <v>10</v>
      </c>
      <c r="P1327" s="3">
        <v>44859</v>
      </c>
      <c r="Q1327">
        <v>43</v>
      </c>
    </row>
    <row r="1328" spans="1:17" x14ac:dyDescent="0.3">
      <c r="A1328" s="1" t="s">
        <v>1871</v>
      </c>
      <c r="B1328" s="2">
        <v>44859.40902777778</v>
      </c>
      <c r="C1328" s="1" t="s">
        <v>37</v>
      </c>
      <c r="D1328" s="1" t="s">
        <v>29</v>
      </c>
      <c r="E1328" s="1" t="s">
        <v>554</v>
      </c>
      <c r="F1328" s="1" t="s">
        <v>77</v>
      </c>
      <c r="G1328" s="1" t="s">
        <v>77</v>
      </c>
      <c r="H1328" s="1" t="s">
        <v>77</v>
      </c>
      <c r="I1328" s="1" t="s">
        <v>77</v>
      </c>
      <c r="J1328" s="1" t="s">
        <v>77</v>
      </c>
      <c r="K1328" s="1" t="s">
        <v>77</v>
      </c>
      <c r="L1328">
        <v>20221025094920</v>
      </c>
      <c r="M1328" s="1" t="s">
        <v>1874</v>
      </c>
      <c r="N1328" s="1" t="s">
        <v>140</v>
      </c>
      <c r="O1328">
        <v>10</v>
      </c>
      <c r="P1328" s="3">
        <v>44859</v>
      </c>
      <c r="Q1328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ACF7-E2E2-4A5A-B56C-4B35EF35CA9F}">
  <dimension ref="A1:AE54"/>
  <sheetViews>
    <sheetView showGridLines="0" showRowColHeaders="0" zoomScaleNormal="100" workbookViewId="0">
      <selection activeCell="A3" sqref="A3"/>
    </sheetView>
  </sheetViews>
  <sheetFormatPr defaultRowHeight="14.4" x14ac:dyDescent="0.3"/>
  <cols>
    <col min="1" max="7" width="10.5546875" bestFit="1" customWidth="1"/>
    <col min="8" max="8" width="5.88671875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" bestFit="1" customWidth="1"/>
    <col min="16" max="16" width="6.109375" customWidth="1"/>
    <col min="17" max="17" width="3.6640625" bestFit="1" customWidth="1"/>
    <col min="18" max="18" width="4.21875" bestFit="1" customWidth="1"/>
    <col min="19" max="19" width="5" bestFit="1" customWidth="1"/>
    <col min="20" max="20" width="4.109375" bestFit="1" customWidth="1"/>
    <col min="21" max="21" width="4.88671875" bestFit="1" customWidth="1"/>
    <col min="22" max="22" width="4.21875" bestFit="1" customWidth="1"/>
    <col min="23" max="23" width="3" bestFit="1" customWidth="1"/>
    <col min="24" max="24" width="5.6640625" customWidth="1"/>
    <col min="25" max="25" width="3.6640625" bestFit="1" customWidth="1"/>
    <col min="26" max="26" width="4.21875" bestFit="1" customWidth="1"/>
    <col min="29" max="29" width="4.88671875" bestFit="1" customWidth="1"/>
    <col min="30" max="30" width="4.21875" bestFit="1" customWidth="1"/>
    <col min="31" max="31" width="3" bestFit="1" customWidth="1"/>
  </cols>
  <sheetData>
    <row r="1" spans="1:31" ht="15" thickBot="1" x14ac:dyDescent="0.35">
      <c r="A1" s="67" t="s">
        <v>1679</v>
      </c>
      <c r="B1" s="68"/>
      <c r="C1" s="68"/>
      <c r="D1" s="68"/>
      <c r="E1" s="68"/>
      <c r="F1" s="68"/>
      <c r="G1" s="69"/>
      <c r="I1" s="67" t="s">
        <v>1680</v>
      </c>
      <c r="J1" s="68"/>
      <c r="K1" s="68"/>
      <c r="L1" s="68"/>
      <c r="M1" s="68"/>
      <c r="N1" s="68"/>
      <c r="O1" s="69"/>
      <c r="Q1" s="67" t="s">
        <v>1681</v>
      </c>
      <c r="R1" s="68"/>
      <c r="S1" s="68"/>
      <c r="T1" s="68"/>
      <c r="U1" s="68"/>
      <c r="V1" s="68"/>
      <c r="W1" s="69"/>
      <c r="Y1" s="67" t="s">
        <v>1682</v>
      </c>
      <c r="Z1" s="68"/>
      <c r="AA1" s="68"/>
      <c r="AB1" s="68"/>
      <c r="AC1" s="68"/>
      <c r="AD1" s="68"/>
      <c r="AE1" s="69"/>
    </row>
    <row r="2" spans="1:31" ht="15" thickBot="1" x14ac:dyDescent="0.35">
      <c r="A2" s="51" t="s">
        <v>1683</v>
      </c>
      <c r="B2" s="52" t="s">
        <v>1684</v>
      </c>
      <c r="C2" s="52" t="s">
        <v>1685</v>
      </c>
      <c r="D2" s="52" t="s">
        <v>1686</v>
      </c>
      <c r="E2" s="52" t="s">
        <v>1687</v>
      </c>
      <c r="F2" s="52" t="s">
        <v>1688</v>
      </c>
      <c r="G2" s="53" t="s">
        <v>1689</v>
      </c>
      <c r="I2" s="51" t="s">
        <v>1683</v>
      </c>
      <c r="J2" s="52" t="s">
        <v>1684</v>
      </c>
      <c r="K2" s="52" t="s">
        <v>1685</v>
      </c>
      <c r="L2" s="52" t="s">
        <v>1686</v>
      </c>
      <c r="M2" s="52" t="s">
        <v>1687</v>
      </c>
      <c r="N2" s="52" t="s">
        <v>1688</v>
      </c>
      <c r="O2" s="53" t="s">
        <v>1689</v>
      </c>
      <c r="Q2" s="54" t="s">
        <v>1683</v>
      </c>
      <c r="R2" s="55" t="s">
        <v>1684</v>
      </c>
      <c r="S2" s="55" t="s">
        <v>1685</v>
      </c>
      <c r="T2" s="55" t="s">
        <v>1686</v>
      </c>
      <c r="U2" s="55" t="s">
        <v>1687</v>
      </c>
      <c r="V2" s="55" t="s">
        <v>1688</v>
      </c>
      <c r="W2" s="56" t="s">
        <v>1689</v>
      </c>
      <c r="Y2" s="54" t="s">
        <v>1683</v>
      </c>
      <c r="Z2" s="55" t="s">
        <v>1684</v>
      </c>
      <c r="AA2" s="55" t="s">
        <v>1685</v>
      </c>
      <c r="AB2" s="55" t="s">
        <v>1686</v>
      </c>
      <c r="AC2" s="55" t="s">
        <v>1687</v>
      </c>
      <c r="AD2" s="55" t="s">
        <v>1688</v>
      </c>
      <c r="AE2" s="56" t="s">
        <v>1689</v>
      </c>
    </row>
    <row r="3" spans="1:31" x14ac:dyDescent="0.3">
      <c r="A3" s="57" cm="1">
        <f t="array" ref="A3:G54">_xlfn.SEQUENCE(52,7,"1/1/2022")</f>
        <v>44562</v>
      </c>
      <c r="B3" s="57">
        <v>44563</v>
      </c>
      <c r="C3" s="57">
        <v>44564</v>
      </c>
      <c r="D3" s="57">
        <v>44565</v>
      </c>
      <c r="E3" s="57">
        <v>44566</v>
      </c>
      <c r="F3" s="57">
        <v>44567</v>
      </c>
      <c r="G3" s="57">
        <v>44568</v>
      </c>
      <c r="I3" s="58" cm="1">
        <f t="array" ref="I3:O54">_xlfn.ISOWEEKNUM(_xlfn.ANCHORARRAY(A3))</f>
        <v>52</v>
      </c>
      <c r="J3" s="58">
        <v>52</v>
      </c>
      <c r="K3" s="58">
        <v>1</v>
      </c>
      <c r="L3" s="58">
        <v>1</v>
      </c>
      <c r="M3" s="58">
        <v>1</v>
      </c>
      <c r="N3" s="58">
        <v>1</v>
      </c>
      <c r="O3" s="58">
        <v>1</v>
      </c>
      <c r="Q3" s="59" cm="1">
        <f t="array" ref="Q3:W54">WEEKDAY(_xlfn.ANCHORARRAY(A3))</f>
        <v>7</v>
      </c>
      <c r="R3" s="59">
        <v>1</v>
      </c>
      <c r="S3" s="59">
        <v>2</v>
      </c>
      <c r="T3" s="59">
        <v>3</v>
      </c>
      <c r="U3" s="59">
        <v>4</v>
      </c>
      <c r="V3" s="59">
        <v>5</v>
      </c>
      <c r="W3" s="59">
        <v>6</v>
      </c>
      <c r="Y3" s="59">
        <f>WEEKNUM(A3)</f>
        <v>1</v>
      </c>
      <c r="Z3" s="59">
        <f t="shared" ref="Z3:AE18" si="0">WEEKNUM(B3)</f>
        <v>2</v>
      </c>
      <c r="AA3" s="59">
        <f t="shared" si="0"/>
        <v>2</v>
      </c>
      <c r="AB3" s="59">
        <f t="shared" si="0"/>
        <v>2</v>
      </c>
      <c r="AC3" s="59">
        <f t="shared" si="0"/>
        <v>2</v>
      </c>
      <c r="AD3" s="59">
        <f t="shared" si="0"/>
        <v>2</v>
      </c>
      <c r="AE3" s="59">
        <f t="shared" si="0"/>
        <v>2</v>
      </c>
    </row>
    <row r="4" spans="1:31" x14ac:dyDescent="0.3">
      <c r="A4" s="57">
        <v>44569</v>
      </c>
      <c r="B4" s="57">
        <v>44570</v>
      </c>
      <c r="C4" s="57">
        <v>44571</v>
      </c>
      <c r="D4" s="57">
        <v>44572</v>
      </c>
      <c r="E4" s="57">
        <v>44573</v>
      </c>
      <c r="F4" s="57">
        <v>44574</v>
      </c>
      <c r="G4" s="57">
        <v>44575</v>
      </c>
      <c r="I4" s="58">
        <v>1</v>
      </c>
      <c r="J4" s="58">
        <v>1</v>
      </c>
      <c r="K4" s="58">
        <v>2</v>
      </c>
      <c r="L4" s="58">
        <v>2</v>
      </c>
      <c r="M4" s="58">
        <v>2</v>
      </c>
      <c r="N4" s="58">
        <v>2</v>
      </c>
      <c r="O4" s="58">
        <v>2</v>
      </c>
      <c r="Q4" s="58">
        <v>7</v>
      </c>
      <c r="R4" s="58">
        <v>1</v>
      </c>
      <c r="S4" s="58">
        <v>2</v>
      </c>
      <c r="T4" s="58">
        <v>3</v>
      </c>
      <c r="U4" s="58">
        <v>4</v>
      </c>
      <c r="V4" s="58">
        <v>5</v>
      </c>
      <c r="W4" s="58">
        <v>6</v>
      </c>
      <c r="Y4" s="58">
        <f t="shared" ref="Y4:AE53" si="1">WEEKNUM(A4)</f>
        <v>2</v>
      </c>
      <c r="Z4" s="58">
        <f t="shared" si="0"/>
        <v>3</v>
      </c>
      <c r="AA4" s="58">
        <f t="shared" si="0"/>
        <v>3</v>
      </c>
      <c r="AB4" s="58">
        <f t="shared" si="0"/>
        <v>3</v>
      </c>
      <c r="AC4" s="58">
        <f t="shared" si="0"/>
        <v>3</v>
      </c>
      <c r="AD4" s="58">
        <f t="shared" si="0"/>
        <v>3</v>
      </c>
      <c r="AE4" s="58">
        <f t="shared" si="0"/>
        <v>3</v>
      </c>
    </row>
    <row r="5" spans="1:31" x14ac:dyDescent="0.3">
      <c r="A5" s="57">
        <v>44576</v>
      </c>
      <c r="B5" s="57">
        <v>44577</v>
      </c>
      <c r="C5" s="57">
        <v>44578</v>
      </c>
      <c r="D5" s="57">
        <v>44579</v>
      </c>
      <c r="E5" s="57">
        <v>44580</v>
      </c>
      <c r="F5" s="57">
        <v>44581</v>
      </c>
      <c r="G5" s="57">
        <v>44582</v>
      </c>
      <c r="I5" s="58">
        <v>2</v>
      </c>
      <c r="J5" s="58">
        <v>2</v>
      </c>
      <c r="K5" s="58">
        <v>3</v>
      </c>
      <c r="L5" s="58">
        <v>3</v>
      </c>
      <c r="M5" s="58">
        <v>3</v>
      </c>
      <c r="N5" s="58">
        <v>3</v>
      </c>
      <c r="O5" s="58">
        <v>3</v>
      </c>
      <c r="Q5" s="58">
        <v>7</v>
      </c>
      <c r="R5" s="58">
        <v>1</v>
      </c>
      <c r="S5" s="58">
        <v>2</v>
      </c>
      <c r="T5" s="58">
        <v>3</v>
      </c>
      <c r="U5" s="58">
        <v>4</v>
      </c>
      <c r="V5" s="58">
        <v>5</v>
      </c>
      <c r="W5" s="58">
        <v>6</v>
      </c>
      <c r="Y5" s="58">
        <f t="shared" si="1"/>
        <v>3</v>
      </c>
      <c r="Z5" s="58">
        <f t="shared" si="0"/>
        <v>4</v>
      </c>
      <c r="AA5" s="58">
        <f t="shared" si="0"/>
        <v>4</v>
      </c>
      <c r="AB5" s="58">
        <f t="shared" si="0"/>
        <v>4</v>
      </c>
      <c r="AC5" s="58">
        <f t="shared" si="0"/>
        <v>4</v>
      </c>
      <c r="AD5" s="58">
        <f t="shared" si="0"/>
        <v>4</v>
      </c>
      <c r="AE5" s="58">
        <f t="shared" si="0"/>
        <v>4</v>
      </c>
    </row>
    <row r="6" spans="1:31" x14ac:dyDescent="0.3">
      <c r="A6" s="57">
        <v>44583</v>
      </c>
      <c r="B6" s="57">
        <v>44584</v>
      </c>
      <c r="C6" s="57">
        <v>44585</v>
      </c>
      <c r="D6" s="57">
        <v>44586</v>
      </c>
      <c r="E6" s="57">
        <v>44587</v>
      </c>
      <c r="F6" s="57">
        <v>44588</v>
      </c>
      <c r="G6" s="57">
        <v>44589</v>
      </c>
      <c r="I6" s="58">
        <v>3</v>
      </c>
      <c r="J6" s="58">
        <v>3</v>
      </c>
      <c r="K6" s="58">
        <v>4</v>
      </c>
      <c r="L6" s="58">
        <v>4</v>
      </c>
      <c r="M6" s="58">
        <v>4</v>
      </c>
      <c r="N6" s="58">
        <v>4</v>
      </c>
      <c r="O6" s="58">
        <v>4</v>
      </c>
      <c r="Q6" s="58">
        <v>7</v>
      </c>
      <c r="R6" s="58">
        <v>1</v>
      </c>
      <c r="S6" s="58">
        <v>2</v>
      </c>
      <c r="T6" s="58">
        <v>3</v>
      </c>
      <c r="U6" s="58">
        <v>4</v>
      </c>
      <c r="V6" s="58">
        <v>5</v>
      </c>
      <c r="W6" s="58">
        <v>6</v>
      </c>
      <c r="Y6" s="58">
        <f t="shared" si="1"/>
        <v>4</v>
      </c>
      <c r="Z6" s="58">
        <f t="shared" si="0"/>
        <v>5</v>
      </c>
      <c r="AA6" s="58">
        <f t="shared" si="0"/>
        <v>5</v>
      </c>
      <c r="AB6" s="58">
        <f t="shared" si="0"/>
        <v>5</v>
      </c>
      <c r="AC6" s="58">
        <f t="shared" si="0"/>
        <v>5</v>
      </c>
      <c r="AD6" s="58">
        <f t="shared" si="0"/>
        <v>5</v>
      </c>
      <c r="AE6" s="58">
        <f t="shared" si="0"/>
        <v>5</v>
      </c>
    </row>
    <row r="7" spans="1:31" x14ac:dyDescent="0.3">
      <c r="A7" s="57">
        <v>44590</v>
      </c>
      <c r="B7" s="57">
        <v>44591</v>
      </c>
      <c r="C7" s="57">
        <v>44592</v>
      </c>
      <c r="D7" s="57">
        <v>44593</v>
      </c>
      <c r="E7" s="57">
        <v>44594</v>
      </c>
      <c r="F7" s="57">
        <v>44595</v>
      </c>
      <c r="G7" s="57">
        <v>44596</v>
      </c>
      <c r="I7" s="58">
        <v>4</v>
      </c>
      <c r="J7" s="58">
        <v>4</v>
      </c>
      <c r="K7" s="58">
        <v>5</v>
      </c>
      <c r="L7" s="58">
        <v>5</v>
      </c>
      <c r="M7" s="58">
        <v>5</v>
      </c>
      <c r="N7" s="58">
        <v>5</v>
      </c>
      <c r="O7" s="58">
        <v>5</v>
      </c>
      <c r="Q7" s="58">
        <v>7</v>
      </c>
      <c r="R7" s="58">
        <v>1</v>
      </c>
      <c r="S7" s="58">
        <v>2</v>
      </c>
      <c r="T7" s="58">
        <v>3</v>
      </c>
      <c r="U7" s="58">
        <v>4</v>
      </c>
      <c r="V7" s="58">
        <v>5</v>
      </c>
      <c r="W7" s="58">
        <v>6</v>
      </c>
      <c r="Y7" s="58">
        <f t="shared" si="1"/>
        <v>5</v>
      </c>
      <c r="Z7" s="58">
        <f t="shared" si="0"/>
        <v>6</v>
      </c>
      <c r="AA7" s="58">
        <f t="shared" si="0"/>
        <v>6</v>
      </c>
      <c r="AB7" s="58">
        <f t="shared" si="0"/>
        <v>6</v>
      </c>
      <c r="AC7" s="58">
        <f t="shared" si="0"/>
        <v>6</v>
      </c>
      <c r="AD7" s="58">
        <f t="shared" si="0"/>
        <v>6</v>
      </c>
      <c r="AE7" s="58">
        <f t="shared" si="0"/>
        <v>6</v>
      </c>
    </row>
    <row r="8" spans="1:31" x14ac:dyDescent="0.3">
      <c r="A8" s="57">
        <v>44597</v>
      </c>
      <c r="B8" s="57">
        <v>44598</v>
      </c>
      <c r="C8" s="57">
        <v>44599</v>
      </c>
      <c r="D8" s="57">
        <v>44600</v>
      </c>
      <c r="E8" s="57">
        <v>44601</v>
      </c>
      <c r="F8" s="57">
        <v>44602</v>
      </c>
      <c r="G8" s="57">
        <v>44603</v>
      </c>
      <c r="I8" s="58">
        <v>5</v>
      </c>
      <c r="J8" s="58">
        <v>5</v>
      </c>
      <c r="K8" s="58">
        <v>6</v>
      </c>
      <c r="L8" s="58">
        <v>6</v>
      </c>
      <c r="M8" s="58">
        <v>6</v>
      </c>
      <c r="N8" s="58">
        <v>6</v>
      </c>
      <c r="O8" s="58">
        <v>6</v>
      </c>
      <c r="Q8" s="58">
        <v>7</v>
      </c>
      <c r="R8" s="58">
        <v>1</v>
      </c>
      <c r="S8" s="58">
        <v>2</v>
      </c>
      <c r="T8" s="58">
        <v>3</v>
      </c>
      <c r="U8" s="58">
        <v>4</v>
      </c>
      <c r="V8" s="58">
        <v>5</v>
      </c>
      <c r="W8" s="58">
        <v>6</v>
      </c>
      <c r="Y8" s="58">
        <f t="shared" si="1"/>
        <v>6</v>
      </c>
      <c r="Z8" s="58">
        <f t="shared" si="0"/>
        <v>7</v>
      </c>
      <c r="AA8" s="58">
        <f t="shared" si="0"/>
        <v>7</v>
      </c>
      <c r="AB8" s="58">
        <f t="shared" si="0"/>
        <v>7</v>
      </c>
      <c r="AC8" s="58">
        <f t="shared" si="0"/>
        <v>7</v>
      </c>
      <c r="AD8" s="58">
        <f t="shared" si="0"/>
        <v>7</v>
      </c>
      <c r="AE8" s="58">
        <f t="shared" si="0"/>
        <v>7</v>
      </c>
    </row>
    <row r="9" spans="1:31" x14ac:dyDescent="0.3">
      <c r="A9" s="57">
        <v>44604</v>
      </c>
      <c r="B9" s="57">
        <v>44605</v>
      </c>
      <c r="C9" s="57">
        <v>44606</v>
      </c>
      <c r="D9" s="57">
        <v>44607</v>
      </c>
      <c r="E9" s="57">
        <v>44608</v>
      </c>
      <c r="F9" s="57">
        <v>44609</v>
      </c>
      <c r="G9" s="57">
        <v>44610</v>
      </c>
      <c r="I9" s="58">
        <v>6</v>
      </c>
      <c r="J9" s="58">
        <v>6</v>
      </c>
      <c r="K9" s="58">
        <v>7</v>
      </c>
      <c r="L9" s="58">
        <v>7</v>
      </c>
      <c r="M9" s="58">
        <v>7</v>
      </c>
      <c r="N9" s="58">
        <v>7</v>
      </c>
      <c r="O9" s="58">
        <v>7</v>
      </c>
      <c r="Q9" s="58">
        <v>7</v>
      </c>
      <c r="R9" s="58">
        <v>1</v>
      </c>
      <c r="S9" s="58">
        <v>2</v>
      </c>
      <c r="T9" s="58">
        <v>3</v>
      </c>
      <c r="U9" s="58">
        <v>4</v>
      </c>
      <c r="V9" s="58">
        <v>5</v>
      </c>
      <c r="W9" s="58">
        <v>6</v>
      </c>
      <c r="Y9" s="58">
        <f t="shared" si="1"/>
        <v>7</v>
      </c>
      <c r="Z9" s="58">
        <f t="shared" si="0"/>
        <v>8</v>
      </c>
      <c r="AA9" s="58">
        <f t="shared" si="0"/>
        <v>8</v>
      </c>
      <c r="AB9" s="58">
        <f t="shared" si="0"/>
        <v>8</v>
      </c>
      <c r="AC9" s="58">
        <f t="shared" si="0"/>
        <v>8</v>
      </c>
      <c r="AD9" s="58">
        <f t="shared" si="0"/>
        <v>8</v>
      </c>
      <c r="AE9" s="58">
        <f t="shared" si="0"/>
        <v>8</v>
      </c>
    </row>
    <row r="10" spans="1:31" x14ac:dyDescent="0.3">
      <c r="A10" s="57">
        <v>44611</v>
      </c>
      <c r="B10" s="57">
        <v>44612</v>
      </c>
      <c r="C10" s="57">
        <v>44613</v>
      </c>
      <c r="D10" s="57">
        <v>44614</v>
      </c>
      <c r="E10" s="57">
        <v>44615</v>
      </c>
      <c r="F10" s="57">
        <v>44616</v>
      </c>
      <c r="G10" s="57">
        <v>44617</v>
      </c>
      <c r="I10" s="58">
        <v>7</v>
      </c>
      <c r="J10" s="58">
        <v>7</v>
      </c>
      <c r="K10" s="58">
        <v>8</v>
      </c>
      <c r="L10" s="58">
        <v>8</v>
      </c>
      <c r="M10" s="58">
        <v>8</v>
      </c>
      <c r="N10" s="58">
        <v>8</v>
      </c>
      <c r="O10" s="58">
        <v>8</v>
      </c>
      <c r="Q10" s="58">
        <v>7</v>
      </c>
      <c r="R10" s="58">
        <v>1</v>
      </c>
      <c r="S10" s="58">
        <v>2</v>
      </c>
      <c r="T10" s="58">
        <v>3</v>
      </c>
      <c r="U10" s="58">
        <v>4</v>
      </c>
      <c r="V10" s="58">
        <v>5</v>
      </c>
      <c r="W10" s="58">
        <v>6</v>
      </c>
      <c r="Y10" s="58">
        <f t="shared" si="1"/>
        <v>8</v>
      </c>
      <c r="Z10" s="58">
        <f t="shared" si="0"/>
        <v>9</v>
      </c>
      <c r="AA10" s="58">
        <f t="shared" si="0"/>
        <v>9</v>
      </c>
      <c r="AB10" s="58">
        <f t="shared" si="0"/>
        <v>9</v>
      </c>
      <c r="AC10" s="58">
        <f t="shared" si="0"/>
        <v>9</v>
      </c>
      <c r="AD10" s="58">
        <f t="shared" si="0"/>
        <v>9</v>
      </c>
      <c r="AE10" s="58">
        <f t="shared" si="0"/>
        <v>9</v>
      </c>
    </row>
    <row r="11" spans="1:31" x14ac:dyDescent="0.3">
      <c r="A11" s="57">
        <v>44618</v>
      </c>
      <c r="B11" s="57">
        <v>44619</v>
      </c>
      <c r="C11" s="57">
        <v>44620</v>
      </c>
      <c r="D11" s="57">
        <v>44621</v>
      </c>
      <c r="E11" s="57">
        <v>44622</v>
      </c>
      <c r="F11" s="57">
        <v>44623</v>
      </c>
      <c r="G11" s="57">
        <v>44624</v>
      </c>
      <c r="I11" s="58">
        <v>8</v>
      </c>
      <c r="J11" s="58">
        <v>8</v>
      </c>
      <c r="K11" s="58">
        <v>9</v>
      </c>
      <c r="L11" s="58">
        <v>9</v>
      </c>
      <c r="M11" s="58">
        <v>9</v>
      </c>
      <c r="N11" s="58">
        <v>9</v>
      </c>
      <c r="O11" s="58">
        <v>9</v>
      </c>
      <c r="Q11" s="58">
        <v>7</v>
      </c>
      <c r="R11" s="58">
        <v>1</v>
      </c>
      <c r="S11" s="58">
        <v>2</v>
      </c>
      <c r="T11" s="58">
        <v>3</v>
      </c>
      <c r="U11" s="58">
        <v>4</v>
      </c>
      <c r="V11" s="58">
        <v>5</v>
      </c>
      <c r="W11" s="58">
        <v>6</v>
      </c>
      <c r="Y11" s="58">
        <f t="shared" si="1"/>
        <v>9</v>
      </c>
      <c r="Z11" s="58">
        <f t="shared" si="0"/>
        <v>10</v>
      </c>
      <c r="AA11" s="58">
        <f t="shared" si="0"/>
        <v>10</v>
      </c>
      <c r="AB11" s="58">
        <f t="shared" si="0"/>
        <v>10</v>
      </c>
      <c r="AC11" s="58">
        <f t="shared" si="0"/>
        <v>10</v>
      </c>
      <c r="AD11" s="58">
        <f t="shared" si="0"/>
        <v>10</v>
      </c>
      <c r="AE11" s="58">
        <f t="shared" si="0"/>
        <v>10</v>
      </c>
    </row>
    <row r="12" spans="1:31" x14ac:dyDescent="0.3">
      <c r="A12" s="57">
        <v>44625</v>
      </c>
      <c r="B12" s="57">
        <v>44626</v>
      </c>
      <c r="C12" s="57">
        <v>44627</v>
      </c>
      <c r="D12" s="57">
        <v>44628</v>
      </c>
      <c r="E12" s="57">
        <v>44629</v>
      </c>
      <c r="F12" s="57">
        <v>44630</v>
      </c>
      <c r="G12" s="57">
        <v>44631</v>
      </c>
      <c r="I12" s="58">
        <v>9</v>
      </c>
      <c r="J12" s="58">
        <v>9</v>
      </c>
      <c r="K12" s="58">
        <v>10</v>
      </c>
      <c r="L12" s="58">
        <v>10</v>
      </c>
      <c r="M12" s="58">
        <v>10</v>
      </c>
      <c r="N12" s="58">
        <v>10</v>
      </c>
      <c r="O12" s="58">
        <v>10</v>
      </c>
      <c r="Q12" s="58">
        <v>7</v>
      </c>
      <c r="R12" s="58">
        <v>1</v>
      </c>
      <c r="S12" s="58">
        <v>2</v>
      </c>
      <c r="T12" s="58">
        <v>3</v>
      </c>
      <c r="U12" s="58">
        <v>4</v>
      </c>
      <c r="V12" s="58">
        <v>5</v>
      </c>
      <c r="W12" s="58">
        <v>6</v>
      </c>
      <c r="Y12" s="58">
        <f t="shared" si="1"/>
        <v>10</v>
      </c>
      <c r="Z12" s="58">
        <f t="shared" si="0"/>
        <v>11</v>
      </c>
      <c r="AA12" s="58">
        <f t="shared" si="0"/>
        <v>11</v>
      </c>
      <c r="AB12" s="58">
        <f t="shared" si="0"/>
        <v>11</v>
      </c>
      <c r="AC12" s="58">
        <f t="shared" si="0"/>
        <v>11</v>
      </c>
      <c r="AD12" s="58">
        <f t="shared" si="0"/>
        <v>11</v>
      </c>
      <c r="AE12" s="58">
        <f t="shared" si="0"/>
        <v>11</v>
      </c>
    </row>
    <row r="13" spans="1:31" x14ac:dyDescent="0.3">
      <c r="A13" s="57">
        <v>44632</v>
      </c>
      <c r="B13" s="57">
        <v>44633</v>
      </c>
      <c r="C13" s="57">
        <v>44634</v>
      </c>
      <c r="D13" s="57">
        <v>44635</v>
      </c>
      <c r="E13" s="57">
        <v>44636</v>
      </c>
      <c r="F13" s="57">
        <v>44637</v>
      </c>
      <c r="G13" s="57">
        <v>44638</v>
      </c>
      <c r="I13" s="58">
        <v>10</v>
      </c>
      <c r="J13" s="58">
        <v>10</v>
      </c>
      <c r="K13" s="58">
        <v>11</v>
      </c>
      <c r="L13" s="58">
        <v>11</v>
      </c>
      <c r="M13" s="58">
        <v>11</v>
      </c>
      <c r="N13" s="58">
        <v>11</v>
      </c>
      <c r="O13" s="58">
        <v>11</v>
      </c>
      <c r="Q13" s="58">
        <v>7</v>
      </c>
      <c r="R13" s="58">
        <v>1</v>
      </c>
      <c r="S13" s="58">
        <v>2</v>
      </c>
      <c r="T13" s="58">
        <v>3</v>
      </c>
      <c r="U13" s="58">
        <v>4</v>
      </c>
      <c r="V13" s="58">
        <v>5</v>
      </c>
      <c r="W13" s="58">
        <v>6</v>
      </c>
      <c r="Y13" s="58">
        <f t="shared" si="1"/>
        <v>11</v>
      </c>
      <c r="Z13" s="58">
        <f t="shared" si="0"/>
        <v>12</v>
      </c>
      <c r="AA13" s="58">
        <f t="shared" si="0"/>
        <v>12</v>
      </c>
      <c r="AB13" s="58">
        <f t="shared" si="0"/>
        <v>12</v>
      </c>
      <c r="AC13" s="58">
        <f t="shared" si="0"/>
        <v>12</v>
      </c>
      <c r="AD13" s="58">
        <f t="shared" si="0"/>
        <v>12</v>
      </c>
      <c r="AE13" s="58">
        <f t="shared" si="0"/>
        <v>12</v>
      </c>
    </row>
    <row r="14" spans="1:31" x14ac:dyDescent="0.3">
      <c r="A14" s="57">
        <v>44639</v>
      </c>
      <c r="B14" s="57">
        <v>44640</v>
      </c>
      <c r="C14" s="57">
        <v>44641</v>
      </c>
      <c r="D14" s="57">
        <v>44642</v>
      </c>
      <c r="E14" s="57">
        <v>44643</v>
      </c>
      <c r="F14" s="57">
        <v>44644</v>
      </c>
      <c r="G14" s="57">
        <v>44645</v>
      </c>
      <c r="I14" s="58">
        <v>11</v>
      </c>
      <c r="J14" s="58">
        <v>11</v>
      </c>
      <c r="K14" s="58">
        <v>12</v>
      </c>
      <c r="L14" s="58">
        <v>12</v>
      </c>
      <c r="M14" s="58">
        <v>12</v>
      </c>
      <c r="N14" s="58">
        <v>12</v>
      </c>
      <c r="O14" s="58">
        <v>12</v>
      </c>
      <c r="Q14" s="58">
        <v>7</v>
      </c>
      <c r="R14" s="58">
        <v>1</v>
      </c>
      <c r="S14" s="58">
        <v>2</v>
      </c>
      <c r="T14" s="58">
        <v>3</v>
      </c>
      <c r="U14" s="58">
        <v>4</v>
      </c>
      <c r="V14" s="58">
        <v>5</v>
      </c>
      <c r="W14" s="58">
        <v>6</v>
      </c>
      <c r="Y14" s="58">
        <f t="shared" si="1"/>
        <v>12</v>
      </c>
      <c r="Z14" s="58">
        <f t="shared" si="0"/>
        <v>13</v>
      </c>
      <c r="AA14" s="58">
        <f t="shared" si="0"/>
        <v>13</v>
      </c>
      <c r="AB14" s="58">
        <f t="shared" si="0"/>
        <v>13</v>
      </c>
      <c r="AC14" s="58">
        <f t="shared" si="0"/>
        <v>13</v>
      </c>
      <c r="AD14" s="58">
        <f t="shared" si="0"/>
        <v>13</v>
      </c>
      <c r="AE14" s="58">
        <f t="shared" si="0"/>
        <v>13</v>
      </c>
    </row>
    <row r="15" spans="1:31" x14ac:dyDescent="0.3">
      <c r="A15" s="57">
        <v>44646</v>
      </c>
      <c r="B15" s="57">
        <v>44647</v>
      </c>
      <c r="C15" s="57">
        <v>44648</v>
      </c>
      <c r="D15" s="57">
        <v>44649</v>
      </c>
      <c r="E15" s="57">
        <v>44650</v>
      </c>
      <c r="F15" s="57">
        <v>44651</v>
      </c>
      <c r="G15" s="57">
        <v>44652</v>
      </c>
      <c r="I15" s="58">
        <v>12</v>
      </c>
      <c r="J15" s="58">
        <v>12</v>
      </c>
      <c r="K15" s="58">
        <v>13</v>
      </c>
      <c r="L15" s="58">
        <v>13</v>
      </c>
      <c r="M15" s="58">
        <v>13</v>
      </c>
      <c r="N15" s="58">
        <v>13</v>
      </c>
      <c r="O15" s="58">
        <v>13</v>
      </c>
      <c r="Q15" s="58">
        <v>7</v>
      </c>
      <c r="R15" s="58">
        <v>1</v>
      </c>
      <c r="S15" s="58">
        <v>2</v>
      </c>
      <c r="T15" s="58">
        <v>3</v>
      </c>
      <c r="U15" s="58">
        <v>4</v>
      </c>
      <c r="V15" s="58">
        <v>5</v>
      </c>
      <c r="W15" s="58">
        <v>6</v>
      </c>
      <c r="Y15" s="58">
        <f t="shared" si="1"/>
        <v>13</v>
      </c>
      <c r="Z15" s="58">
        <f t="shared" si="0"/>
        <v>14</v>
      </c>
      <c r="AA15" s="58">
        <f t="shared" si="0"/>
        <v>14</v>
      </c>
      <c r="AB15" s="58">
        <f t="shared" si="0"/>
        <v>14</v>
      </c>
      <c r="AC15" s="58">
        <f t="shared" si="0"/>
        <v>14</v>
      </c>
      <c r="AD15" s="58">
        <f t="shared" si="0"/>
        <v>14</v>
      </c>
      <c r="AE15" s="58">
        <f t="shared" si="0"/>
        <v>14</v>
      </c>
    </row>
    <row r="16" spans="1:31" x14ac:dyDescent="0.3">
      <c r="A16" s="57">
        <v>44653</v>
      </c>
      <c r="B16" s="57">
        <v>44654</v>
      </c>
      <c r="C16" s="57">
        <v>44655</v>
      </c>
      <c r="D16" s="57">
        <v>44656</v>
      </c>
      <c r="E16" s="57">
        <v>44657</v>
      </c>
      <c r="F16" s="57">
        <v>44658</v>
      </c>
      <c r="G16" s="57">
        <v>44659</v>
      </c>
      <c r="I16" s="58">
        <v>13</v>
      </c>
      <c r="J16" s="58">
        <v>13</v>
      </c>
      <c r="K16" s="58">
        <v>14</v>
      </c>
      <c r="L16" s="58">
        <v>14</v>
      </c>
      <c r="M16" s="58">
        <v>14</v>
      </c>
      <c r="N16" s="58">
        <v>14</v>
      </c>
      <c r="O16" s="58">
        <v>14</v>
      </c>
      <c r="Q16" s="58">
        <v>7</v>
      </c>
      <c r="R16" s="58">
        <v>1</v>
      </c>
      <c r="S16" s="58">
        <v>2</v>
      </c>
      <c r="T16" s="58">
        <v>3</v>
      </c>
      <c r="U16" s="58">
        <v>4</v>
      </c>
      <c r="V16" s="58">
        <v>5</v>
      </c>
      <c r="W16" s="58">
        <v>6</v>
      </c>
      <c r="Y16" s="58">
        <f t="shared" si="1"/>
        <v>14</v>
      </c>
      <c r="Z16" s="58">
        <f t="shared" si="0"/>
        <v>15</v>
      </c>
      <c r="AA16" s="58">
        <f t="shared" si="0"/>
        <v>15</v>
      </c>
      <c r="AB16" s="58">
        <f t="shared" si="0"/>
        <v>15</v>
      </c>
      <c r="AC16" s="58">
        <f t="shared" si="0"/>
        <v>15</v>
      </c>
      <c r="AD16" s="58">
        <f t="shared" si="0"/>
        <v>15</v>
      </c>
      <c r="AE16" s="58">
        <f t="shared" si="0"/>
        <v>15</v>
      </c>
    </row>
    <row r="17" spans="1:31" x14ac:dyDescent="0.3">
      <c r="A17" s="57">
        <v>44660</v>
      </c>
      <c r="B17" s="57">
        <v>44661</v>
      </c>
      <c r="C17" s="57">
        <v>44662</v>
      </c>
      <c r="D17" s="57">
        <v>44663</v>
      </c>
      <c r="E17" s="57">
        <v>44664</v>
      </c>
      <c r="F17" s="57">
        <v>44665</v>
      </c>
      <c r="G17" s="57">
        <v>44666</v>
      </c>
      <c r="I17" s="58">
        <v>14</v>
      </c>
      <c r="J17" s="58">
        <v>14</v>
      </c>
      <c r="K17" s="58">
        <v>15</v>
      </c>
      <c r="L17" s="58">
        <v>15</v>
      </c>
      <c r="M17" s="58">
        <v>15</v>
      </c>
      <c r="N17" s="58">
        <v>15</v>
      </c>
      <c r="O17" s="58">
        <v>15</v>
      </c>
      <c r="Q17" s="58">
        <v>7</v>
      </c>
      <c r="R17" s="58">
        <v>1</v>
      </c>
      <c r="S17" s="58">
        <v>2</v>
      </c>
      <c r="T17" s="58">
        <v>3</v>
      </c>
      <c r="U17" s="58">
        <v>4</v>
      </c>
      <c r="V17" s="58">
        <v>5</v>
      </c>
      <c r="W17" s="58">
        <v>6</v>
      </c>
      <c r="Y17" s="58">
        <f t="shared" si="1"/>
        <v>15</v>
      </c>
      <c r="Z17" s="58">
        <f t="shared" si="0"/>
        <v>16</v>
      </c>
      <c r="AA17" s="58">
        <f t="shared" si="0"/>
        <v>16</v>
      </c>
      <c r="AB17" s="58">
        <f t="shared" si="0"/>
        <v>16</v>
      </c>
      <c r="AC17" s="58">
        <f t="shared" si="0"/>
        <v>16</v>
      </c>
      <c r="AD17" s="58">
        <f t="shared" si="0"/>
        <v>16</v>
      </c>
      <c r="AE17" s="58">
        <f t="shared" si="0"/>
        <v>16</v>
      </c>
    </row>
    <row r="18" spans="1:31" x14ac:dyDescent="0.3">
      <c r="A18" s="57">
        <v>44667</v>
      </c>
      <c r="B18" s="57">
        <v>44668</v>
      </c>
      <c r="C18" s="57">
        <v>44669</v>
      </c>
      <c r="D18" s="57">
        <v>44670</v>
      </c>
      <c r="E18" s="57">
        <v>44671</v>
      </c>
      <c r="F18" s="57">
        <v>44672</v>
      </c>
      <c r="G18" s="57">
        <v>44673</v>
      </c>
      <c r="I18" s="58">
        <v>15</v>
      </c>
      <c r="J18" s="58">
        <v>15</v>
      </c>
      <c r="K18" s="58">
        <v>16</v>
      </c>
      <c r="L18" s="58">
        <v>16</v>
      </c>
      <c r="M18" s="58">
        <v>16</v>
      </c>
      <c r="N18" s="58">
        <v>16</v>
      </c>
      <c r="O18" s="58">
        <v>16</v>
      </c>
      <c r="Q18" s="58">
        <v>7</v>
      </c>
      <c r="R18" s="58">
        <v>1</v>
      </c>
      <c r="S18" s="58">
        <v>2</v>
      </c>
      <c r="T18" s="58">
        <v>3</v>
      </c>
      <c r="U18" s="58">
        <v>4</v>
      </c>
      <c r="V18" s="58">
        <v>5</v>
      </c>
      <c r="W18" s="58">
        <v>6</v>
      </c>
      <c r="Y18" s="58">
        <f t="shared" si="1"/>
        <v>16</v>
      </c>
      <c r="Z18" s="58">
        <f t="shared" si="0"/>
        <v>17</v>
      </c>
      <c r="AA18" s="58">
        <f t="shared" si="0"/>
        <v>17</v>
      </c>
      <c r="AB18" s="58">
        <f t="shared" si="0"/>
        <v>17</v>
      </c>
      <c r="AC18" s="58">
        <f t="shared" si="0"/>
        <v>17</v>
      </c>
      <c r="AD18" s="58">
        <f t="shared" si="0"/>
        <v>17</v>
      </c>
      <c r="AE18" s="58">
        <f t="shared" si="0"/>
        <v>17</v>
      </c>
    </row>
    <row r="19" spans="1:31" x14ac:dyDescent="0.3">
      <c r="A19" s="57">
        <v>44674</v>
      </c>
      <c r="B19" s="57">
        <v>44675</v>
      </c>
      <c r="C19" s="57">
        <v>44676</v>
      </c>
      <c r="D19" s="57">
        <v>44677</v>
      </c>
      <c r="E19" s="57">
        <v>44678</v>
      </c>
      <c r="F19" s="57">
        <v>44679</v>
      </c>
      <c r="G19" s="57">
        <v>44680</v>
      </c>
      <c r="I19" s="58">
        <v>16</v>
      </c>
      <c r="J19" s="58">
        <v>16</v>
      </c>
      <c r="K19" s="58">
        <v>17</v>
      </c>
      <c r="L19" s="58">
        <v>17</v>
      </c>
      <c r="M19" s="58">
        <v>17</v>
      </c>
      <c r="N19" s="58">
        <v>17</v>
      </c>
      <c r="O19" s="58">
        <v>17</v>
      </c>
      <c r="Q19" s="58">
        <v>7</v>
      </c>
      <c r="R19" s="58">
        <v>1</v>
      </c>
      <c r="S19" s="58">
        <v>2</v>
      </c>
      <c r="T19" s="58">
        <v>3</v>
      </c>
      <c r="U19" s="58">
        <v>4</v>
      </c>
      <c r="V19" s="58">
        <v>5</v>
      </c>
      <c r="W19" s="58">
        <v>6</v>
      </c>
      <c r="Y19" s="58">
        <f t="shared" si="1"/>
        <v>17</v>
      </c>
      <c r="Z19" s="58">
        <f t="shared" si="1"/>
        <v>18</v>
      </c>
      <c r="AA19" s="58">
        <f t="shared" si="1"/>
        <v>18</v>
      </c>
      <c r="AB19" s="58">
        <f t="shared" si="1"/>
        <v>18</v>
      </c>
      <c r="AC19" s="58">
        <f t="shared" si="1"/>
        <v>18</v>
      </c>
      <c r="AD19" s="58">
        <f t="shared" si="1"/>
        <v>18</v>
      </c>
      <c r="AE19" s="58">
        <f t="shared" si="1"/>
        <v>18</v>
      </c>
    </row>
    <row r="20" spans="1:31" x14ac:dyDescent="0.3">
      <c r="A20" s="57">
        <v>44681</v>
      </c>
      <c r="B20" s="57">
        <v>44682</v>
      </c>
      <c r="C20" s="57">
        <v>44683</v>
      </c>
      <c r="D20" s="57">
        <v>44684</v>
      </c>
      <c r="E20" s="57">
        <v>44685</v>
      </c>
      <c r="F20" s="57">
        <v>44686</v>
      </c>
      <c r="G20" s="57">
        <v>44687</v>
      </c>
      <c r="I20" s="58">
        <v>17</v>
      </c>
      <c r="J20" s="58">
        <v>17</v>
      </c>
      <c r="K20" s="58">
        <v>18</v>
      </c>
      <c r="L20" s="58">
        <v>18</v>
      </c>
      <c r="M20" s="58">
        <v>18</v>
      </c>
      <c r="N20" s="58">
        <v>18</v>
      </c>
      <c r="O20" s="58">
        <v>18</v>
      </c>
      <c r="Q20" s="58">
        <v>7</v>
      </c>
      <c r="R20" s="58">
        <v>1</v>
      </c>
      <c r="S20" s="58">
        <v>2</v>
      </c>
      <c r="T20" s="58">
        <v>3</v>
      </c>
      <c r="U20" s="58">
        <v>4</v>
      </c>
      <c r="V20" s="58">
        <v>5</v>
      </c>
      <c r="W20" s="58">
        <v>6</v>
      </c>
      <c r="Y20" s="58">
        <f t="shared" si="1"/>
        <v>18</v>
      </c>
      <c r="Z20" s="58">
        <f t="shared" si="1"/>
        <v>19</v>
      </c>
      <c r="AA20" s="58">
        <f t="shared" si="1"/>
        <v>19</v>
      </c>
      <c r="AB20" s="58">
        <f t="shared" si="1"/>
        <v>19</v>
      </c>
      <c r="AC20" s="58">
        <f t="shared" si="1"/>
        <v>19</v>
      </c>
      <c r="AD20" s="58">
        <f t="shared" si="1"/>
        <v>19</v>
      </c>
      <c r="AE20" s="58">
        <f t="shared" si="1"/>
        <v>19</v>
      </c>
    </row>
    <row r="21" spans="1:31" x14ac:dyDescent="0.3">
      <c r="A21" s="57">
        <v>44688</v>
      </c>
      <c r="B21" s="57">
        <v>44689</v>
      </c>
      <c r="C21" s="57">
        <v>44690</v>
      </c>
      <c r="D21" s="57">
        <v>44691</v>
      </c>
      <c r="E21" s="57">
        <v>44692</v>
      </c>
      <c r="F21" s="57">
        <v>44693</v>
      </c>
      <c r="G21" s="57">
        <v>44694</v>
      </c>
      <c r="I21" s="58">
        <v>18</v>
      </c>
      <c r="J21" s="58">
        <v>18</v>
      </c>
      <c r="K21" s="58">
        <v>19</v>
      </c>
      <c r="L21" s="58">
        <v>19</v>
      </c>
      <c r="M21" s="58">
        <v>19</v>
      </c>
      <c r="N21" s="58">
        <v>19</v>
      </c>
      <c r="O21" s="58">
        <v>19</v>
      </c>
      <c r="Q21" s="58">
        <v>7</v>
      </c>
      <c r="R21" s="58">
        <v>1</v>
      </c>
      <c r="S21" s="58">
        <v>2</v>
      </c>
      <c r="T21" s="58">
        <v>3</v>
      </c>
      <c r="U21" s="58">
        <v>4</v>
      </c>
      <c r="V21" s="58">
        <v>5</v>
      </c>
      <c r="W21" s="58">
        <v>6</v>
      </c>
      <c r="Y21" s="58">
        <f t="shared" si="1"/>
        <v>19</v>
      </c>
      <c r="Z21" s="58">
        <f t="shared" si="1"/>
        <v>20</v>
      </c>
      <c r="AA21" s="58">
        <f t="shared" si="1"/>
        <v>20</v>
      </c>
      <c r="AB21" s="58">
        <f t="shared" si="1"/>
        <v>20</v>
      </c>
      <c r="AC21" s="58">
        <f t="shared" si="1"/>
        <v>20</v>
      </c>
      <c r="AD21" s="58">
        <f t="shared" si="1"/>
        <v>20</v>
      </c>
      <c r="AE21" s="58">
        <f t="shared" si="1"/>
        <v>20</v>
      </c>
    </row>
    <row r="22" spans="1:31" x14ac:dyDescent="0.3">
      <c r="A22" s="57">
        <v>44695</v>
      </c>
      <c r="B22" s="57">
        <v>44696</v>
      </c>
      <c r="C22" s="57">
        <v>44697</v>
      </c>
      <c r="D22" s="57">
        <v>44698</v>
      </c>
      <c r="E22" s="57">
        <v>44699</v>
      </c>
      <c r="F22" s="57">
        <v>44700</v>
      </c>
      <c r="G22" s="57">
        <v>44701</v>
      </c>
      <c r="I22" s="58">
        <v>19</v>
      </c>
      <c r="J22" s="58">
        <v>19</v>
      </c>
      <c r="K22" s="58">
        <v>20</v>
      </c>
      <c r="L22" s="58">
        <v>20</v>
      </c>
      <c r="M22" s="58">
        <v>20</v>
      </c>
      <c r="N22" s="58">
        <v>20</v>
      </c>
      <c r="O22" s="58">
        <v>20</v>
      </c>
      <c r="Q22" s="58">
        <v>7</v>
      </c>
      <c r="R22" s="58">
        <v>1</v>
      </c>
      <c r="S22" s="58">
        <v>2</v>
      </c>
      <c r="T22" s="58">
        <v>3</v>
      </c>
      <c r="U22" s="58">
        <v>4</v>
      </c>
      <c r="V22" s="58">
        <v>5</v>
      </c>
      <c r="W22" s="58">
        <v>6</v>
      </c>
      <c r="Y22" s="58">
        <f t="shared" si="1"/>
        <v>20</v>
      </c>
      <c r="Z22" s="58">
        <f t="shared" si="1"/>
        <v>21</v>
      </c>
      <c r="AA22" s="58">
        <f t="shared" si="1"/>
        <v>21</v>
      </c>
      <c r="AB22" s="58">
        <f t="shared" si="1"/>
        <v>21</v>
      </c>
      <c r="AC22" s="58">
        <f t="shared" si="1"/>
        <v>21</v>
      </c>
      <c r="AD22" s="58">
        <f t="shared" si="1"/>
        <v>21</v>
      </c>
      <c r="AE22" s="58">
        <f t="shared" si="1"/>
        <v>21</v>
      </c>
    </row>
    <row r="23" spans="1:31" x14ac:dyDescent="0.3">
      <c r="A23" s="57">
        <v>44702</v>
      </c>
      <c r="B23" s="57">
        <v>44703</v>
      </c>
      <c r="C23" s="57">
        <v>44704</v>
      </c>
      <c r="D23" s="57">
        <v>44705</v>
      </c>
      <c r="E23" s="57">
        <v>44706</v>
      </c>
      <c r="F23" s="57">
        <v>44707</v>
      </c>
      <c r="G23" s="57">
        <v>44708</v>
      </c>
      <c r="I23" s="58">
        <v>20</v>
      </c>
      <c r="J23" s="58">
        <v>20</v>
      </c>
      <c r="K23" s="58">
        <v>21</v>
      </c>
      <c r="L23" s="58">
        <v>21</v>
      </c>
      <c r="M23" s="58">
        <v>21</v>
      </c>
      <c r="N23" s="58">
        <v>21</v>
      </c>
      <c r="O23" s="58">
        <v>21</v>
      </c>
      <c r="Q23" s="58">
        <v>7</v>
      </c>
      <c r="R23" s="58">
        <v>1</v>
      </c>
      <c r="S23" s="58">
        <v>2</v>
      </c>
      <c r="T23" s="58">
        <v>3</v>
      </c>
      <c r="U23" s="58">
        <v>4</v>
      </c>
      <c r="V23" s="58">
        <v>5</v>
      </c>
      <c r="W23" s="58">
        <v>6</v>
      </c>
      <c r="Y23" s="58">
        <f t="shared" si="1"/>
        <v>21</v>
      </c>
      <c r="Z23" s="58">
        <f t="shared" si="1"/>
        <v>22</v>
      </c>
      <c r="AA23" s="58">
        <f t="shared" si="1"/>
        <v>22</v>
      </c>
      <c r="AB23" s="58">
        <f t="shared" si="1"/>
        <v>22</v>
      </c>
      <c r="AC23" s="58">
        <f t="shared" si="1"/>
        <v>22</v>
      </c>
      <c r="AD23" s="58">
        <f t="shared" si="1"/>
        <v>22</v>
      </c>
      <c r="AE23" s="58">
        <f t="shared" si="1"/>
        <v>22</v>
      </c>
    </row>
    <row r="24" spans="1:31" x14ac:dyDescent="0.3">
      <c r="A24" s="57">
        <v>44709</v>
      </c>
      <c r="B24" s="57">
        <v>44710</v>
      </c>
      <c r="C24" s="57">
        <v>44711</v>
      </c>
      <c r="D24" s="57">
        <v>44712</v>
      </c>
      <c r="E24" s="57">
        <v>44713</v>
      </c>
      <c r="F24" s="57">
        <v>44714</v>
      </c>
      <c r="G24" s="57">
        <v>44715</v>
      </c>
      <c r="I24" s="58">
        <v>21</v>
      </c>
      <c r="J24" s="58">
        <v>21</v>
      </c>
      <c r="K24" s="58">
        <v>22</v>
      </c>
      <c r="L24" s="58">
        <v>22</v>
      </c>
      <c r="M24" s="58">
        <v>22</v>
      </c>
      <c r="N24" s="58">
        <v>22</v>
      </c>
      <c r="O24" s="58">
        <v>22</v>
      </c>
      <c r="Q24" s="58">
        <v>7</v>
      </c>
      <c r="R24" s="58">
        <v>1</v>
      </c>
      <c r="S24" s="58">
        <v>2</v>
      </c>
      <c r="T24" s="58">
        <v>3</v>
      </c>
      <c r="U24" s="58">
        <v>4</v>
      </c>
      <c r="V24" s="58">
        <v>5</v>
      </c>
      <c r="W24" s="58">
        <v>6</v>
      </c>
      <c r="Y24" s="58">
        <f t="shared" si="1"/>
        <v>22</v>
      </c>
      <c r="Z24" s="58">
        <f t="shared" si="1"/>
        <v>23</v>
      </c>
      <c r="AA24" s="58">
        <f t="shared" si="1"/>
        <v>23</v>
      </c>
      <c r="AB24" s="58">
        <f t="shared" si="1"/>
        <v>23</v>
      </c>
      <c r="AC24" s="58">
        <f t="shared" si="1"/>
        <v>23</v>
      </c>
      <c r="AD24" s="58">
        <f t="shared" si="1"/>
        <v>23</v>
      </c>
      <c r="AE24" s="58">
        <f t="shared" si="1"/>
        <v>23</v>
      </c>
    </row>
    <row r="25" spans="1:31" x14ac:dyDescent="0.3">
      <c r="A25" s="57">
        <v>44716</v>
      </c>
      <c r="B25" s="57">
        <v>44717</v>
      </c>
      <c r="C25" s="57">
        <v>44718</v>
      </c>
      <c r="D25" s="57">
        <v>44719</v>
      </c>
      <c r="E25" s="57">
        <v>44720</v>
      </c>
      <c r="F25" s="57">
        <v>44721</v>
      </c>
      <c r="G25" s="57">
        <v>44722</v>
      </c>
      <c r="I25" s="58">
        <v>22</v>
      </c>
      <c r="J25" s="58">
        <v>22</v>
      </c>
      <c r="K25" s="58">
        <v>23</v>
      </c>
      <c r="L25" s="58">
        <v>23</v>
      </c>
      <c r="M25" s="58">
        <v>23</v>
      </c>
      <c r="N25" s="58">
        <v>23</v>
      </c>
      <c r="O25" s="58">
        <v>23</v>
      </c>
      <c r="Q25" s="58">
        <v>7</v>
      </c>
      <c r="R25" s="58">
        <v>1</v>
      </c>
      <c r="S25" s="58">
        <v>2</v>
      </c>
      <c r="T25" s="58">
        <v>3</v>
      </c>
      <c r="U25" s="58">
        <v>4</v>
      </c>
      <c r="V25" s="58">
        <v>5</v>
      </c>
      <c r="W25" s="58">
        <v>6</v>
      </c>
      <c r="Y25" s="58">
        <f t="shared" si="1"/>
        <v>23</v>
      </c>
      <c r="Z25" s="58">
        <f t="shared" si="1"/>
        <v>24</v>
      </c>
      <c r="AA25" s="58">
        <f t="shared" si="1"/>
        <v>24</v>
      </c>
      <c r="AB25" s="58">
        <f t="shared" si="1"/>
        <v>24</v>
      </c>
      <c r="AC25" s="58">
        <f t="shared" si="1"/>
        <v>24</v>
      </c>
      <c r="AD25" s="58">
        <f t="shared" si="1"/>
        <v>24</v>
      </c>
      <c r="AE25" s="58">
        <f t="shared" si="1"/>
        <v>24</v>
      </c>
    </row>
    <row r="26" spans="1:31" x14ac:dyDescent="0.3">
      <c r="A26" s="57">
        <v>44723</v>
      </c>
      <c r="B26" s="57">
        <v>44724</v>
      </c>
      <c r="C26" s="57">
        <v>44725</v>
      </c>
      <c r="D26" s="57">
        <v>44726</v>
      </c>
      <c r="E26" s="57">
        <v>44727</v>
      </c>
      <c r="F26" s="57">
        <v>44728</v>
      </c>
      <c r="G26" s="57">
        <v>44729</v>
      </c>
      <c r="I26" s="58">
        <v>23</v>
      </c>
      <c r="J26" s="58">
        <v>23</v>
      </c>
      <c r="K26" s="58">
        <v>24</v>
      </c>
      <c r="L26" s="58">
        <v>24</v>
      </c>
      <c r="M26" s="58">
        <v>24</v>
      </c>
      <c r="N26" s="58">
        <v>24</v>
      </c>
      <c r="O26" s="58">
        <v>24</v>
      </c>
      <c r="Q26" s="58">
        <v>7</v>
      </c>
      <c r="R26" s="58">
        <v>1</v>
      </c>
      <c r="S26" s="58">
        <v>2</v>
      </c>
      <c r="T26" s="58">
        <v>3</v>
      </c>
      <c r="U26" s="58">
        <v>4</v>
      </c>
      <c r="V26" s="58">
        <v>5</v>
      </c>
      <c r="W26" s="58">
        <v>6</v>
      </c>
      <c r="Y26" s="58">
        <f t="shared" si="1"/>
        <v>24</v>
      </c>
      <c r="Z26" s="58">
        <f t="shared" si="1"/>
        <v>25</v>
      </c>
      <c r="AA26" s="58">
        <f t="shared" si="1"/>
        <v>25</v>
      </c>
      <c r="AB26" s="58">
        <f t="shared" si="1"/>
        <v>25</v>
      </c>
      <c r="AC26" s="58">
        <f t="shared" si="1"/>
        <v>25</v>
      </c>
      <c r="AD26" s="58">
        <f t="shared" si="1"/>
        <v>25</v>
      </c>
      <c r="AE26" s="58">
        <f t="shared" si="1"/>
        <v>25</v>
      </c>
    </row>
    <row r="27" spans="1:31" x14ac:dyDescent="0.3">
      <c r="A27" s="57">
        <v>44730</v>
      </c>
      <c r="B27" s="57">
        <v>44731</v>
      </c>
      <c r="C27" s="57">
        <v>44732</v>
      </c>
      <c r="D27" s="57">
        <v>44733</v>
      </c>
      <c r="E27" s="57">
        <v>44734</v>
      </c>
      <c r="F27" s="57">
        <v>44735</v>
      </c>
      <c r="G27" s="57">
        <v>44736</v>
      </c>
      <c r="I27" s="58">
        <v>24</v>
      </c>
      <c r="J27" s="58">
        <v>24</v>
      </c>
      <c r="K27" s="58">
        <v>25</v>
      </c>
      <c r="L27" s="58">
        <v>25</v>
      </c>
      <c r="M27" s="58">
        <v>25</v>
      </c>
      <c r="N27" s="58">
        <v>25</v>
      </c>
      <c r="O27" s="58">
        <v>25</v>
      </c>
      <c r="Q27" s="58">
        <v>7</v>
      </c>
      <c r="R27" s="58">
        <v>1</v>
      </c>
      <c r="S27" s="58">
        <v>2</v>
      </c>
      <c r="T27" s="58">
        <v>3</v>
      </c>
      <c r="U27" s="58">
        <v>4</v>
      </c>
      <c r="V27" s="58">
        <v>5</v>
      </c>
      <c r="W27" s="58">
        <v>6</v>
      </c>
      <c r="Y27" s="58">
        <f t="shared" si="1"/>
        <v>25</v>
      </c>
      <c r="Z27" s="58">
        <f t="shared" si="1"/>
        <v>26</v>
      </c>
      <c r="AA27" s="58">
        <f t="shared" si="1"/>
        <v>26</v>
      </c>
      <c r="AB27" s="58">
        <f t="shared" si="1"/>
        <v>26</v>
      </c>
      <c r="AC27" s="58">
        <f t="shared" si="1"/>
        <v>26</v>
      </c>
      <c r="AD27" s="58">
        <f t="shared" si="1"/>
        <v>26</v>
      </c>
      <c r="AE27" s="58">
        <f t="shared" si="1"/>
        <v>26</v>
      </c>
    </row>
    <row r="28" spans="1:31" x14ac:dyDescent="0.3">
      <c r="A28" s="57">
        <v>44737</v>
      </c>
      <c r="B28" s="57">
        <v>44738</v>
      </c>
      <c r="C28" s="57">
        <v>44739</v>
      </c>
      <c r="D28" s="57">
        <v>44740</v>
      </c>
      <c r="E28" s="57">
        <v>44741</v>
      </c>
      <c r="F28" s="57">
        <v>44742</v>
      </c>
      <c r="G28" s="57">
        <v>44743</v>
      </c>
      <c r="I28" s="58">
        <v>25</v>
      </c>
      <c r="J28" s="58">
        <v>25</v>
      </c>
      <c r="K28" s="58">
        <v>26</v>
      </c>
      <c r="L28" s="58">
        <v>26</v>
      </c>
      <c r="M28" s="58">
        <v>26</v>
      </c>
      <c r="N28" s="58">
        <v>26</v>
      </c>
      <c r="O28" s="58">
        <v>26</v>
      </c>
      <c r="Q28" s="58">
        <v>7</v>
      </c>
      <c r="R28" s="58">
        <v>1</v>
      </c>
      <c r="S28" s="58">
        <v>2</v>
      </c>
      <c r="T28" s="58">
        <v>3</v>
      </c>
      <c r="U28" s="58">
        <v>4</v>
      </c>
      <c r="V28" s="58">
        <v>5</v>
      </c>
      <c r="W28" s="58">
        <v>6</v>
      </c>
      <c r="Y28" s="58">
        <f t="shared" si="1"/>
        <v>26</v>
      </c>
      <c r="Z28" s="58">
        <f t="shared" si="1"/>
        <v>27</v>
      </c>
      <c r="AA28" s="58">
        <f t="shared" si="1"/>
        <v>27</v>
      </c>
      <c r="AB28" s="58">
        <f t="shared" si="1"/>
        <v>27</v>
      </c>
      <c r="AC28" s="58">
        <f t="shared" si="1"/>
        <v>27</v>
      </c>
      <c r="AD28" s="58">
        <f t="shared" si="1"/>
        <v>27</v>
      </c>
      <c r="AE28" s="58">
        <f t="shared" si="1"/>
        <v>27</v>
      </c>
    </row>
    <row r="29" spans="1:31" x14ac:dyDescent="0.3">
      <c r="A29" s="57">
        <v>44744</v>
      </c>
      <c r="B29" s="57">
        <v>44745</v>
      </c>
      <c r="C29" s="57">
        <v>44746</v>
      </c>
      <c r="D29" s="57">
        <v>44747</v>
      </c>
      <c r="E29" s="57">
        <v>44748</v>
      </c>
      <c r="F29" s="57">
        <v>44749</v>
      </c>
      <c r="G29" s="57">
        <v>44750</v>
      </c>
      <c r="I29" s="58">
        <v>26</v>
      </c>
      <c r="J29" s="58">
        <v>26</v>
      </c>
      <c r="K29" s="58">
        <v>27</v>
      </c>
      <c r="L29" s="58">
        <v>27</v>
      </c>
      <c r="M29" s="58">
        <v>27</v>
      </c>
      <c r="N29" s="58">
        <v>27</v>
      </c>
      <c r="O29" s="58">
        <v>27</v>
      </c>
      <c r="Q29" s="58">
        <v>7</v>
      </c>
      <c r="R29" s="58">
        <v>1</v>
      </c>
      <c r="S29" s="58">
        <v>2</v>
      </c>
      <c r="T29" s="58">
        <v>3</v>
      </c>
      <c r="U29" s="58">
        <v>4</v>
      </c>
      <c r="V29" s="58">
        <v>5</v>
      </c>
      <c r="W29" s="58">
        <v>6</v>
      </c>
      <c r="Y29" s="58">
        <f t="shared" si="1"/>
        <v>27</v>
      </c>
      <c r="Z29" s="58">
        <f t="shared" si="1"/>
        <v>28</v>
      </c>
      <c r="AA29" s="58">
        <f t="shared" si="1"/>
        <v>28</v>
      </c>
      <c r="AB29" s="58">
        <f t="shared" si="1"/>
        <v>28</v>
      </c>
      <c r="AC29" s="58">
        <f t="shared" si="1"/>
        <v>28</v>
      </c>
      <c r="AD29" s="58">
        <f t="shared" si="1"/>
        <v>28</v>
      </c>
      <c r="AE29" s="58">
        <f t="shared" si="1"/>
        <v>28</v>
      </c>
    </row>
    <row r="30" spans="1:31" x14ac:dyDescent="0.3">
      <c r="A30" s="57">
        <v>44751</v>
      </c>
      <c r="B30" s="57">
        <v>44752</v>
      </c>
      <c r="C30" s="57">
        <v>44753</v>
      </c>
      <c r="D30" s="57">
        <v>44754</v>
      </c>
      <c r="E30" s="57">
        <v>44755</v>
      </c>
      <c r="F30" s="57">
        <v>44756</v>
      </c>
      <c r="G30" s="57">
        <v>44757</v>
      </c>
      <c r="I30" s="58">
        <v>27</v>
      </c>
      <c r="J30" s="58">
        <v>27</v>
      </c>
      <c r="K30" s="58">
        <v>28</v>
      </c>
      <c r="L30" s="58">
        <v>28</v>
      </c>
      <c r="M30" s="58">
        <v>28</v>
      </c>
      <c r="N30" s="58">
        <v>28</v>
      </c>
      <c r="O30" s="58">
        <v>28</v>
      </c>
      <c r="Q30" s="58">
        <v>7</v>
      </c>
      <c r="R30" s="58">
        <v>1</v>
      </c>
      <c r="S30" s="58">
        <v>2</v>
      </c>
      <c r="T30" s="58">
        <v>3</v>
      </c>
      <c r="U30" s="58">
        <v>4</v>
      </c>
      <c r="V30" s="58">
        <v>5</v>
      </c>
      <c r="W30" s="58">
        <v>6</v>
      </c>
      <c r="Y30" s="58">
        <f t="shared" si="1"/>
        <v>28</v>
      </c>
      <c r="Z30" s="58">
        <f t="shared" si="1"/>
        <v>29</v>
      </c>
      <c r="AA30" s="58">
        <f t="shared" si="1"/>
        <v>29</v>
      </c>
      <c r="AB30" s="58">
        <f t="shared" si="1"/>
        <v>29</v>
      </c>
      <c r="AC30" s="58">
        <f t="shared" si="1"/>
        <v>29</v>
      </c>
      <c r="AD30" s="58">
        <f t="shared" si="1"/>
        <v>29</v>
      </c>
      <c r="AE30" s="58">
        <f t="shared" si="1"/>
        <v>29</v>
      </c>
    </row>
    <row r="31" spans="1:31" x14ac:dyDescent="0.3">
      <c r="A31" s="57">
        <v>44758</v>
      </c>
      <c r="B31" s="57">
        <v>44759</v>
      </c>
      <c r="C31" s="57">
        <v>44760</v>
      </c>
      <c r="D31" s="57">
        <v>44761</v>
      </c>
      <c r="E31" s="57">
        <v>44762</v>
      </c>
      <c r="F31" s="57">
        <v>44763</v>
      </c>
      <c r="G31" s="57">
        <v>44764</v>
      </c>
      <c r="I31" s="58">
        <v>28</v>
      </c>
      <c r="J31" s="58">
        <v>28</v>
      </c>
      <c r="K31" s="58">
        <v>29</v>
      </c>
      <c r="L31" s="58">
        <v>29</v>
      </c>
      <c r="M31" s="58">
        <v>29</v>
      </c>
      <c r="N31" s="58">
        <v>29</v>
      </c>
      <c r="O31" s="58">
        <v>29</v>
      </c>
      <c r="Q31" s="58">
        <v>7</v>
      </c>
      <c r="R31" s="58">
        <v>1</v>
      </c>
      <c r="S31" s="58">
        <v>2</v>
      </c>
      <c r="T31" s="58">
        <v>3</v>
      </c>
      <c r="U31" s="58">
        <v>4</v>
      </c>
      <c r="V31" s="58">
        <v>5</v>
      </c>
      <c r="W31" s="58">
        <v>6</v>
      </c>
      <c r="Y31" s="58">
        <f t="shared" si="1"/>
        <v>29</v>
      </c>
      <c r="Z31" s="58">
        <f t="shared" si="1"/>
        <v>30</v>
      </c>
      <c r="AA31" s="58">
        <f t="shared" si="1"/>
        <v>30</v>
      </c>
      <c r="AB31" s="58">
        <f t="shared" si="1"/>
        <v>30</v>
      </c>
      <c r="AC31" s="58">
        <f t="shared" si="1"/>
        <v>30</v>
      </c>
      <c r="AD31" s="58">
        <f t="shared" si="1"/>
        <v>30</v>
      </c>
      <c r="AE31" s="58">
        <f t="shared" si="1"/>
        <v>30</v>
      </c>
    </row>
    <row r="32" spans="1:31" x14ac:dyDescent="0.3">
      <c r="A32" s="57">
        <v>44765</v>
      </c>
      <c r="B32" s="57">
        <v>44766</v>
      </c>
      <c r="C32" s="57">
        <v>44767</v>
      </c>
      <c r="D32" s="57">
        <v>44768</v>
      </c>
      <c r="E32" s="57">
        <v>44769</v>
      </c>
      <c r="F32" s="57">
        <v>44770</v>
      </c>
      <c r="G32" s="57">
        <v>44771</v>
      </c>
      <c r="I32" s="58">
        <v>29</v>
      </c>
      <c r="J32" s="58">
        <v>29</v>
      </c>
      <c r="K32" s="58">
        <v>30</v>
      </c>
      <c r="L32" s="58">
        <v>30</v>
      </c>
      <c r="M32" s="58">
        <v>30</v>
      </c>
      <c r="N32" s="58">
        <v>30</v>
      </c>
      <c r="O32" s="58">
        <v>30</v>
      </c>
      <c r="Q32" s="58">
        <v>7</v>
      </c>
      <c r="R32" s="58">
        <v>1</v>
      </c>
      <c r="S32" s="58">
        <v>2</v>
      </c>
      <c r="T32" s="58">
        <v>3</v>
      </c>
      <c r="U32" s="58">
        <v>4</v>
      </c>
      <c r="V32" s="58">
        <v>5</v>
      </c>
      <c r="W32" s="58">
        <v>6</v>
      </c>
      <c r="Y32" s="58">
        <f t="shared" si="1"/>
        <v>30</v>
      </c>
      <c r="Z32" s="58">
        <f t="shared" si="1"/>
        <v>31</v>
      </c>
      <c r="AA32" s="58">
        <f t="shared" si="1"/>
        <v>31</v>
      </c>
      <c r="AB32" s="58">
        <f t="shared" si="1"/>
        <v>31</v>
      </c>
      <c r="AC32" s="58">
        <f t="shared" si="1"/>
        <v>31</v>
      </c>
      <c r="AD32" s="58">
        <f t="shared" si="1"/>
        <v>31</v>
      </c>
      <c r="AE32" s="58">
        <f t="shared" si="1"/>
        <v>31</v>
      </c>
    </row>
    <row r="33" spans="1:31" x14ac:dyDescent="0.3">
      <c r="A33" s="57">
        <v>44772</v>
      </c>
      <c r="B33" s="57">
        <v>44773</v>
      </c>
      <c r="C33" s="57">
        <v>44774</v>
      </c>
      <c r="D33" s="57">
        <v>44775</v>
      </c>
      <c r="E33" s="57">
        <v>44776</v>
      </c>
      <c r="F33" s="57">
        <v>44777</v>
      </c>
      <c r="G33" s="57">
        <v>44778</v>
      </c>
      <c r="I33" s="58">
        <v>30</v>
      </c>
      <c r="J33" s="58">
        <v>30</v>
      </c>
      <c r="K33" s="58">
        <v>31</v>
      </c>
      <c r="L33" s="58">
        <v>31</v>
      </c>
      <c r="M33" s="58">
        <v>31</v>
      </c>
      <c r="N33" s="58">
        <v>31</v>
      </c>
      <c r="O33" s="58">
        <v>31</v>
      </c>
      <c r="Q33" s="58">
        <v>7</v>
      </c>
      <c r="R33" s="58">
        <v>1</v>
      </c>
      <c r="S33" s="58">
        <v>2</v>
      </c>
      <c r="T33" s="58">
        <v>3</v>
      </c>
      <c r="U33" s="58">
        <v>4</v>
      </c>
      <c r="V33" s="58">
        <v>5</v>
      </c>
      <c r="W33" s="58">
        <v>6</v>
      </c>
      <c r="Y33" s="58">
        <f t="shared" si="1"/>
        <v>31</v>
      </c>
      <c r="Z33" s="58">
        <f t="shared" si="1"/>
        <v>32</v>
      </c>
      <c r="AA33" s="58">
        <f t="shared" si="1"/>
        <v>32</v>
      </c>
      <c r="AB33" s="58">
        <f t="shared" si="1"/>
        <v>32</v>
      </c>
      <c r="AC33" s="58">
        <f t="shared" si="1"/>
        <v>32</v>
      </c>
      <c r="AD33" s="58">
        <f t="shared" si="1"/>
        <v>32</v>
      </c>
      <c r="AE33" s="58">
        <f t="shared" si="1"/>
        <v>32</v>
      </c>
    </row>
    <row r="34" spans="1:31" x14ac:dyDescent="0.3">
      <c r="A34" s="57">
        <v>44779</v>
      </c>
      <c r="B34" s="57">
        <v>44780</v>
      </c>
      <c r="C34" s="57">
        <v>44781</v>
      </c>
      <c r="D34" s="57">
        <v>44782</v>
      </c>
      <c r="E34" s="57">
        <v>44783</v>
      </c>
      <c r="F34" s="57">
        <v>44784</v>
      </c>
      <c r="G34" s="57">
        <v>44785</v>
      </c>
      <c r="I34" s="58">
        <v>31</v>
      </c>
      <c r="J34" s="58">
        <v>31</v>
      </c>
      <c r="K34" s="58">
        <v>32</v>
      </c>
      <c r="L34" s="58">
        <v>32</v>
      </c>
      <c r="M34" s="58">
        <v>32</v>
      </c>
      <c r="N34" s="58">
        <v>32</v>
      </c>
      <c r="O34" s="58">
        <v>32</v>
      </c>
      <c r="Q34" s="58">
        <v>7</v>
      </c>
      <c r="R34" s="58">
        <v>1</v>
      </c>
      <c r="S34" s="58">
        <v>2</v>
      </c>
      <c r="T34" s="58">
        <v>3</v>
      </c>
      <c r="U34" s="58">
        <v>4</v>
      </c>
      <c r="V34" s="58">
        <v>5</v>
      </c>
      <c r="W34" s="58">
        <v>6</v>
      </c>
      <c r="Y34" s="58">
        <f t="shared" si="1"/>
        <v>32</v>
      </c>
      <c r="Z34" s="58">
        <f t="shared" si="1"/>
        <v>33</v>
      </c>
      <c r="AA34" s="58">
        <f t="shared" si="1"/>
        <v>33</v>
      </c>
      <c r="AB34" s="58">
        <f t="shared" si="1"/>
        <v>33</v>
      </c>
      <c r="AC34" s="58">
        <f t="shared" si="1"/>
        <v>33</v>
      </c>
      <c r="AD34" s="58">
        <f t="shared" si="1"/>
        <v>33</v>
      </c>
      <c r="AE34" s="58">
        <f t="shared" si="1"/>
        <v>33</v>
      </c>
    </row>
    <row r="35" spans="1:31" x14ac:dyDescent="0.3">
      <c r="A35" s="57">
        <v>44786</v>
      </c>
      <c r="B35" s="57">
        <v>44787</v>
      </c>
      <c r="C35" s="57">
        <v>44788</v>
      </c>
      <c r="D35" s="57">
        <v>44789</v>
      </c>
      <c r="E35" s="57">
        <v>44790</v>
      </c>
      <c r="F35" s="57">
        <v>44791</v>
      </c>
      <c r="G35" s="57">
        <v>44792</v>
      </c>
      <c r="I35" s="58">
        <v>32</v>
      </c>
      <c r="J35" s="58">
        <v>32</v>
      </c>
      <c r="K35" s="58">
        <v>33</v>
      </c>
      <c r="L35" s="58">
        <v>33</v>
      </c>
      <c r="M35" s="58">
        <v>33</v>
      </c>
      <c r="N35" s="58">
        <v>33</v>
      </c>
      <c r="O35" s="58">
        <v>33</v>
      </c>
      <c r="Q35" s="58">
        <v>7</v>
      </c>
      <c r="R35" s="58">
        <v>1</v>
      </c>
      <c r="S35" s="58">
        <v>2</v>
      </c>
      <c r="T35" s="58">
        <v>3</v>
      </c>
      <c r="U35" s="58">
        <v>4</v>
      </c>
      <c r="V35" s="58">
        <v>5</v>
      </c>
      <c r="W35" s="58">
        <v>6</v>
      </c>
      <c r="Y35" s="58">
        <f t="shared" si="1"/>
        <v>33</v>
      </c>
      <c r="Z35" s="58">
        <f t="shared" si="1"/>
        <v>34</v>
      </c>
      <c r="AA35" s="58">
        <f t="shared" si="1"/>
        <v>34</v>
      </c>
      <c r="AB35" s="58">
        <f t="shared" si="1"/>
        <v>34</v>
      </c>
      <c r="AC35" s="58">
        <f t="shared" si="1"/>
        <v>34</v>
      </c>
      <c r="AD35" s="58">
        <f t="shared" si="1"/>
        <v>34</v>
      </c>
      <c r="AE35" s="58">
        <f t="shared" si="1"/>
        <v>34</v>
      </c>
    </row>
    <row r="36" spans="1:31" x14ac:dyDescent="0.3">
      <c r="A36" s="57">
        <v>44793</v>
      </c>
      <c r="B36" s="57">
        <v>44794</v>
      </c>
      <c r="C36" s="57">
        <v>44795</v>
      </c>
      <c r="D36" s="57">
        <v>44796</v>
      </c>
      <c r="E36" s="57">
        <v>44797</v>
      </c>
      <c r="F36" s="57">
        <v>44798</v>
      </c>
      <c r="G36" s="57">
        <v>44799</v>
      </c>
      <c r="I36" s="58">
        <v>33</v>
      </c>
      <c r="J36" s="58">
        <v>33</v>
      </c>
      <c r="K36" s="58">
        <v>34</v>
      </c>
      <c r="L36" s="58">
        <v>34</v>
      </c>
      <c r="M36" s="58">
        <v>34</v>
      </c>
      <c r="N36" s="58">
        <v>34</v>
      </c>
      <c r="O36" s="58">
        <v>34</v>
      </c>
      <c r="Q36" s="58">
        <v>7</v>
      </c>
      <c r="R36" s="58">
        <v>1</v>
      </c>
      <c r="S36" s="58">
        <v>2</v>
      </c>
      <c r="T36" s="58">
        <v>3</v>
      </c>
      <c r="U36" s="58">
        <v>4</v>
      </c>
      <c r="V36" s="58">
        <v>5</v>
      </c>
      <c r="W36" s="58">
        <v>6</v>
      </c>
      <c r="Y36" s="58">
        <f t="shared" si="1"/>
        <v>34</v>
      </c>
      <c r="Z36" s="58">
        <f t="shared" si="1"/>
        <v>35</v>
      </c>
      <c r="AA36" s="58">
        <f t="shared" si="1"/>
        <v>35</v>
      </c>
      <c r="AB36" s="58">
        <f t="shared" si="1"/>
        <v>35</v>
      </c>
      <c r="AC36" s="58">
        <f t="shared" si="1"/>
        <v>35</v>
      </c>
      <c r="AD36" s="58">
        <f t="shared" si="1"/>
        <v>35</v>
      </c>
      <c r="AE36" s="58">
        <f t="shared" si="1"/>
        <v>35</v>
      </c>
    </row>
    <row r="37" spans="1:31" x14ac:dyDescent="0.3">
      <c r="A37" s="57">
        <v>44800</v>
      </c>
      <c r="B37" s="57">
        <v>44801</v>
      </c>
      <c r="C37" s="57">
        <v>44802</v>
      </c>
      <c r="D37" s="57">
        <v>44803</v>
      </c>
      <c r="E37" s="57">
        <v>44804</v>
      </c>
      <c r="F37" s="57">
        <v>44805</v>
      </c>
      <c r="G37" s="57">
        <v>44806</v>
      </c>
      <c r="I37" s="58">
        <v>34</v>
      </c>
      <c r="J37" s="58">
        <v>34</v>
      </c>
      <c r="K37" s="58">
        <v>35</v>
      </c>
      <c r="L37" s="58">
        <v>35</v>
      </c>
      <c r="M37" s="58">
        <v>35</v>
      </c>
      <c r="N37" s="58">
        <v>35</v>
      </c>
      <c r="O37" s="58">
        <v>35</v>
      </c>
      <c r="Q37" s="58">
        <v>7</v>
      </c>
      <c r="R37" s="58">
        <v>1</v>
      </c>
      <c r="S37" s="58">
        <v>2</v>
      </c>
      <c r="T37" s="58">
        <v>3</v>
      </c>
      <c r="U37" s="58">
        <v>4</v>
      </c>
      <c r="V37" s="58">
        <v>5</v>
      </c>
      <c r="W37" s="58">
        <v>6</v>
      </c>
      <c r="Y37" s="58">
        <f t="shared" si="1"/>
        <v>35</v>
      </c>
      <c r="Z37" s="58">
        <f t="shared" si="1"/>
        <v>36</v>
      </c>
      <c r="AA37" s="58">
        <f t="shared" si="1"/>
        <v>36</v>
      </c>
      <c r="AB37" s="58">
        <f t="shared" si="1"/>
        <v>36</v>
      </c>
      <c r="AC37" s="58">
        <f t="shared" si="1"/>
        <v>36</v>
      </c>
      <c r="AD37" s="58">
        <f t="shared" si="1"/>
        <v>36</v>
      </c>
      <c r="AE37" s="58">
        <f t="shared" si="1"/>
        <v>36</v>
      </c>
    </row>
    <row r="38" spans="1:31" x14ac:dyDescent="0.3">
      <c r="A38" s="57">
        <v>44807</v>
      </c>
      <c r="B38" s="57">
        <v>44808</v>
      </c>
      <c r="C38" s="57">
        <v>44809</v>
      </c>
      <c r="D38" s="57">
        <v>44810</v>
      </c>
      <c r="E38" s="57">
        <v>44811</v>
      </c>
      <c r="F38" s="57">
        <v>44812</v>
      </c>
      <c r="G38" s="57">
        <v>44813</v>
      </c>
      <c r="I38" s="58">
        <v>35</v>
      </c>
      <c r="J38" s="58">
        <v>35</v>
      </c>
      <c r="K38" s="58">
        <v>36</v>
      </c>
      <c r="L38" s="58">
        <v>36</v>
      </c>
      <c r="M38" s="58">
        <v>36</v>
      </c>
      <c r="N38" s="58">
        <v>36</v>
      </c>
      <c r="O38" s="58">
        <v>36</v>
      </c>
      <c r="Q38" s="58">
        <v>7</v>
      </c>
      <c r="R38" s="58">
        <v>1</v>
      </c>
      <c r="S38" s="58">
        <v>2</v>
      </c>
      <c r="T38" s="58">
        <v>3</v>
      </c>
      <c r="U38" s="58">
        <v>4</v>
      </c>
      <c r="V38" s="58">
        <v>5</v>
      </c>
      <c r="W38" s="58">
        <v>6</v>
      </c>
      <c r="Y38" s="58">
        <f t="shared" si="1"/>
        <v>36</v>
      </c>
      <c r="Z38" s="58">
        <f t="shared" si="1"/>
        <v>37</v>
      </c>
      <c r="AA38" s="58">
        <f t="shared" si="1"/>
        <v>37</v>
      </c>
      <c r="AB38" s="58">
        <f t="shared" si="1"/>
        <v>37</v>
      </c>
      <c r="AC38" s="58">
        <f t="shared" si="1"/>
        <v>37</v>
      </c>
      <c r="AD38" s="58">
        <f t="shared" si="1"/>
        <v>37</v>
      </c>
      <c r="AE38" s="58">
        <f t="shared" si="1"/>
        <v>37</v>
      </c>
    </row>
    <row r="39" spans="1:31" x14ac:dyDescent="0.3">
      <c r="A39" s="57">
        <v>44814</v>
      </c>
      <c r="B39" s="57">
        <v>44815</v>
      </c>
      <c r="C39" s="57">
        <v>44816</v>
      </c>
      <c r="D39" s="57">
        <v>44817</v>
      </c>
      <c r="E39" s="57">
        <v>44818</v>
      </c>
      <c r="F39" s="57">
        <v>44819</v>
      </c>
      <c r="G39" s="57">
        <v>44820</v>
      </c>
      <c r="I39" s="58">
        <v>36</v>
      </c>
      <c r="J39" s="58">
        <v>36</v>
      </c>
      <c r="K39" s="58">
        <v>37</v>
      </c>
      <c r="L39" s="58">
        <v>37</v>
      </c>
      <c r="M39" s="58">
        <v>37</v>
      </c>
      <c r="N39" s="58">
        <v>37</v>
      </c>
      <c r="O39" s="58">
        <v>37</v>
      </c>
      <c r="Q39" s="58">
        <v>7</v>
      </c>
      <c r="R39" s="58">
        <v>1</v>
      </c>
      <c r="S39" s="58">
        <v>2</v>
      </c>
      <c r="T39" s="58">
        <v>3</v>
      </c>
      <c r="U39" s="58">
        <v>4</v>
      </c>
      <c r="V39" s="58">
        <v>5</v>
      </c>
      <c r="W39" s="58">
        <v>6</v>
      </c>
      <c r="Y39" s="58">
        <f t="shared" si="1"/>
        <v>37</v>
      </c>
      <c r="Z39" s="58">
        <f t="shared" si="1"/>
        <v>38</v>
      </c>
      <c r="AA39" s="58">
        <f t="shared" si="1"/>
        <v>38</v>
      </c>
      <c r="AB39" s="58">
        <f t="shared" si="1"/>
        <v>38</v>
      </c>
      <c r="AC39" s="58">
        <f t="shared" si="1"/>
        <v>38</v>
      </c>
      <c r="AD39" s="58">
        <f t="shared" si="1"/>
        <v>38</v>
      </c>
      <c r="AE39" s="58">
        <f t="shared" si="1"/>
        <v>38</v>
      </c>
    </row>
    <row r="40" spans="1:31" x14ac:dyDescent="0.3">
      <c r="A40" s="57">
        <v>44821</v>
      </c>
      <c r="B40" s="57">
        <v>44822</v>
      </c>
      <c r="C40" s="57">
        <v>44823</v>
      </c>
      <c r="D40" s="57">
        <v>44824</v>
      </c>
      <c r="E40" s="57">
        <v>44825</v>
      </c>
      <c r="F40" s="57">
        <v>44826</v>
      </c>
      <c r="G40" s="57">
        <v>44827</v>
      </c>
      <c r="I40" s="58">
        <v>37</v>
      </c>
      <c r="J40" s="58">
        <v>37</v>
      </c>
      <c r="K40" s="58">
        <v>38</v>
      </c>
      <c r="L40" s="58">
        <v>38</v>
      </c>
      <c r="M40" s="58">
        <v>38</v>
      </c>
      <c r="N40" s="58">
        <v>38</v>
      </c>
      <c r="O40" s="58">
        <v>38</v>
      </c>
      <c r="Q40" s="58">
        <v>7</v>
      </c>
      <c r="R40" s="58">
        <v>1</v>
      </c>
      <c r="S40" s="58">
        <v>2</v>
      </c>
      <c r="T40" s="58">
        <v>3</v>
      </c>
      <c r="U40" s="58">
        <v>4</v>
      </c>
      <c r="V40" s="58">
        <v>5</v>
      </c>
      <c r="W40" s="58">
        <v>6</v>
      </c>
      <c r="Y40" s="58">
        <f t="shared" si="1"/>
        <v>38</v>
      </c>
      <c r="Z40" s="58">
        <f t="shared" si="1"/>
        <v>39</v>
      </c>
      <c r="AA40" s="58">
        <f t="shared" si="1"/>
        <v>39</v>
      </c>
      <c r="AB40" s="58">
        <f t="shared" si="1"/>
        <v>39</v>
      </c>
      <c r="AC40" s="58">
        <f t="shared" si="1"/>
        <v>39</v>
      </c>
      <c r="AD40" s="58">
        <f t="shared" si="1"/>
        <v>39</v>
      </c>
      <c r="AE40" s="58">
        <f t="shared" si="1"/>
        <v>39</v>
      </c>
    </row>
    <row r="41" spans="1:31" x14ac:dyDescent="0.3">
      <c r="A41" s="57">
        <v>44828</v>
      </c>
      <c r="B41" s="57">
        <v>44829</v>
      </c>
      <c r="C41" s="57">
        <v>44830</v>
      </c>
      <c r="D41" s="57">
        <v>44831</v>
      </c>
      <c r="E41" s="57">
        <v>44832</v>
      </c>
      <c r="F41" s="57">
        <v>44833</v>
      </c>
      <c r="G41" s="57">
        <v>44834</v>
      </c>
      <c r="I41" s="58">
        <v>38</v>
      </c>
      <c r="J41" s="58">
        <v>38</v>
      </c>
      <c r="K41" s="58">
        <v>39</v>
      </c>
      <c r="L41" s="58">
        <v>39</v>
      </c>
      <c r="M41" s="58">
        <v>39</v>
      </c>
      <c r="N41" s="58">
        <v>39</v>
      </c>
      <c r="O41" s="58">
        <v>39</v>
      </c>
      <c r="Q41" s="58">
        <v>7</v>
      </c>
      <c r="R41" s="58">
        <v>1</v>
      </c>
      <c r="S41" s="58">
        <v>2</v>
      </c>
      <c r="T41" s="58">
        <v>3</v>
      </c>
      <c r="U41" s="58">
        <v>4</v>
      </c>
      <c r="V41" s="58">
        <v>5</v>
      </c>
      <c r="W41" s="58">
        <v>6</v>
      </c>
      <c r="Y41" s="58">
        <f t="shared" si="1"/>
        <v>39</v>
      </c>
      <c r="Z41" s="58">
        <f t="shared" si="1"/>
        <v>40</v>
      </c>
      <c r="AA41" s="58">
        <f t="shared" si="1"/>
        <v>40</v>
      </c>
      <c r="AB41" s="58">
        <f t="shared" si="1"/>
        <v>40</v>
      </c>
      <c r="AC41" s="58">
        <f t="shared" si="1"/>
        <v>40</v>
      </c>
      <c r="AD41" s="58">
        <f t="shared" si="1"/>
        <v>40</v>
      </c>
      <c r="AE41" s="58">
        <f t="shared" si="1"/>
        <v>40</v>
      </c>
    </row>
    <row r="42" spans="1:31" x14ac:dyDescent="0.3">
      <c r="A42" s="57">
        <v>44835</v>
      </c>
      <c r="B42" s="57">
        <v>44836</v>
      </c>
      <c r="C42" s="57">
        <v>44837</v>
      </c>
      <c r="D42" s="57">
        <v>44838</v>
      </c>
      <c r="E42" s="57">
        <v>44839</v>
      </c>
      <c r="F42" s="57">
        <v>44840</v>
      </c>
      <c r="G42" s="57">
        <v>44841</v>
      </c>
      <c r="I42" s="58">
        <v>39</v>
      </c>
      <c r="J42" s="58">
        <v>39</v>
      </c>
      <c r="K42" s="58">
        <v>40</v>
      </c>
      <c r="L42" s="58">
        <v>40</v>
      </c>
      <c r="M42" s="58">
        <v>40</v>
      </c>
      <c r="N42" s="58">
        <v>40</v>
      </c>
      <c r="O42" s="58">
        <v>40</v>
      </c>
      <c r="Q42" s="58">
        <v>7</v>
      </c>
      <c r="R42" s="58">
        <v>1</v>
      </c>
      <c r="S42" s="58">
        <v>2</v>
      </c>
      <c r="T42" s="58">
        <v>3</v>
      </c>
      <c r="U42" s="58">
        <v>4</v>
      </c>
      <c r="V42" s="58">
        <v>5</v>
      </c>
      <c r="W42" s="58">
        <v>6</v>
      </c>
      <c r="Y42" s="58">
        <f t="shared" si="1"/>
        <v>40</v>
      </c>
      <c r="Z42" s="58">
        <f t="shared" si="1"/>
        <v>41</v>
      </c>
      <c r="AA42" s="58">
        <f t="shared" si="1"/>
        <v>41</v>
      </c>
      <c r="AB42" s="58">
        <f t="shared" si="1"/>
        <v>41</v>
      </c>
      <c r="AC42" s="58">
        <f t="shared" si="1"/>
        <v>41</v>
      </c>
      <c r="AD42" s="58">
        <f t="shared" si="1"/>
        <v>41</v>
      </c>
      <c r="AE42" s="58">
        <f t="shared" si="1"/>
        <v>41</v>
      </c>
    </row>
    <row r="43" spans="1:31" x14ac:dyDescent="0.3">
      <c r="A43" s="57">
        <v>44842</v>
      </c>
      <c r="B43" s="57">
        <v>44843</v>
      </c>
      <c r="C43" s="57">
        <v>44844</v>
      </c>
      <c r="D43" s="57">
        <v>44845</v>
      </c>
      <c r="E43" s="57">
        <v>44846</v>
      </c>
      <c r="F43" s="57">
        <v>44847</v>
      </c>
      <c r="G43" s="57">
        <v>44848</v>
      </c>
      <c r="I43" s="58">
        <v>40</v>
      </c>
      <c r="J43" s="58">
        <v>40</v>
      </c>
      <c r="K43" s="58">
        <v>41</v>
      </c>
      <c r="L43" s="58">
        <v>41</v>
      </c>
      <c r="M43" s="58">
        <v>41</v>
      </c>
      <c r="N43" s="58">
        <v>41</v>
      </c>
      <c r="O43" s="58">
        <v>41</v>
      </c>
      <c r="Q43" s="58">
        <v>7</v>
      </c>
      <c r="R43" s="58">
        <v>1</v>
      </c>
      <c r="S43" s="58">
        <v>2</v>
      </c>
      <c r="T43" s="58">
        <v>3</v>
      </c>
      <c r="U43" s="58">
        <v>4</v>
      </c>
      <c r="V43" s="58">
        <v>5</v>
      </c>
      <c r="W43" s="58">
        <v>6</v>
      </c>
      <c r="Y43" s="58">
        <f t="shared" si="1"/>
        <v>41</v>
      </c>
      <c r="Z43" s="58">
        <f t="shared" si="1"/>
        <v>42</v>
      </c>
      <c r="AA43" s="58">
        <f t="shared" si="1"/>
        <v>42</v>
      </c>
      <c r="AB43" s="58">
        <f t="shared" si="1"/>
        <v>42</v>
      </c>
      <c r="AC43" s="58">
        <f t="shared" si="1"/>
        <v>42</v>
      </c>
      <c r="AD43" s="58">
        <f t="shared" si="1"/>
        <v>42</v>
      </c>
      <c r="AE43" s="58">
        <f t="shared" si="1"/>
        <v>42</v>
      </c>
    </row>
    <row r="44" spans="1:31" x14ac:dyDescent="0.3">
      <c r="A44" s="57">
        <v>44849</v>
      </c>
      <c r="B44" s="57">
        <v>44850</v>
      </c>
      <c r="C44" s="57">
        <v>44851</v>
      </c>
      <c r="D44" s="57">
        <v>44852</v>
      </c>
      <c r="E44" s="57">
        <v>44853</v>
      </c>
      <c r="F44" s="57">
        <v>44854</v>
      </c>
      <c r="G44" s="57">
        <v>44855</v>
      </c>
      <c r="I44" s="58">
        <v>41</v>
      </c>
      <c r="J44" s="58">
        <v>41</v>
      </c>
      <c r="K44" s="58">
        <v>42</v>
      </c>
      <c r="L44" s="58">
        <v>42</v>
      </c>
      <c r="M44" s="58">
        <v>42</v>
      </c>
      <c r="N44" s="58">
        <v>42</v>
      </c>
      <c r="O44" s="58">
        <v>42</v>
      </c>
      <c r="Q44" s="58">
        <v>7</v>
      </c>
      <c r="R44" s="58">
        <v>1</v>
      </c>
      <c r="S44" s="58">
        <v>2</v>
      </c>
      <c r="T44" s="58">
        <v>3</v>
      </c>
      <c r="U44" s="58">
        <v>4</v>
      </c>
      <c r="V44" s="58">
        <v>5</v>
      </c>
      <c r="W44" s="58">
        <v>6</v>
      </c>
      <c r="Y44" s="58">
        <f t="shared" si="1"/>
        <v>42</v>
      </c>
      <c r="Z44" s="58">
        <f t="shared" si="1"/>
        <v>43</v>
      </c>
      <c r="AA44" s="58">
        <f t="shared" si="1"/>
        <v>43</v>
      </c>
      <c r="AB44" s="58">
        <f t="shared" si="1"/>
        <v>43</v>
      </c>
      <c r="AC44" s="58">
        <f t="shared" si="1"/>
        <v>43</v>
      </c>
      <c r="AD44" s="58">
        <f t="shared" si="1"/>
        <v>43</v>
      </c>
      <c r="AE44" s="58">
        <f t="shared" si="1"/>
        <v>43</v>
      </c>
    </row>
    <row r="45" spans="1:31" x14ac:dyDescent="0.3">
      <c r="A45" s="57">
        <v>44856</v>
      </c>
      <c r="B45" s="57">
        <v>44857</v>
      </c>
      <c r="C45" s="57">
        <v>44858</v>
      </c>
      <c r="D45" s="57">
        <v>44859</v>
      </c>
      <c r="E45" s="57">
        <v>44860</v>
      </c>
      <c r="F45" s="57">
        <v>44861</v>
      </c>
      <c r="G45" s="57">
        <v>44862</v>
      </c>
      <c r="I45" s="58">
        <v>42</v>
      </c>
      <c r="J45" s="58">
        <v>42</v>
      </c>
      <c r="K45" s="58">
        <v>43</v>
      </c>
      <c r="L45" s="58">
        <v>43</v>
      </c>
      <c r="M45" s="58">
        <v>43</v>
      </c>
      <c r="N45" s="58">
        <v>43</v>
      </c>
      <c r="O45" s="58">
        <v>43</v>
      </c>
      <c r="Q45" s="58">
        <v>7</v>
      </c>
      <c r="R45" s="58">
        <v>1</v>
      </c>
      <c r="S45" s="58">
        <v>2</v>
      </c>
      <c r="T45" s="58">
        <v>3</v>
      </c>
      <c r="U45" s="58">
        <v>4</v>
      </c>
      <c r="V45" s="58">
        <v>5</v>
      </c>
      <c r="W45" s="58">
        <v>6</v>
      </c>
      <c r="Y45" s="58">
        <f t="shared" si="1"/>
        <v>43</v>
      </c>
      <c r="Z45" s="58">
        <f t="shared" si="1"/>
        <v>44</v>
      </c>
      <c r="AA45" s="58">
        <f t="shared" si="1"/>
        <v>44</v>
      </c>
      <c r="AB45" s="58">
        <f t="shared" si="1"/>
        <v>44</v>
      </c>
      <c r="AC45" s="58">
        <f t="shared" si="1"/>
        <v>44</v>
      </c>
      <c r="AD45" s="58">
        <f t="shared" si="1"/>
        <v>44</v>
      </c>
      <c r="AE45" s="58">
        <f t="shared" si="1"/>
        <v>44</v>
      </c>
    </row>
    <row r="46" spans="1:31" x14ac:dyDescent="0.3">
      <c r="A46" s="57">
        <v>44863</v>
      </c>
      <c r="B46" s="57">
        <v>44864</v>
      </c>
      <c r="C46" s="57">
        <v>44865</v>
      </c>
      <c r="D46" s="57">
        <v>44866</v>
      </c>
      <c r="E46" s="57">
        <v>44867</v>
      </c>
      <c r="F46" s="57">
        <v>44868</v>
      </c>
      <c r="G46" s="57">
        <v>44869</v>
      </c>
      <c r="I46" s="58">
        <v>43</v>
      </c>
      <c r="J46" s="58">
        <v>43</v>
      </c>
      <c r="K46" s="58">
        <v>44</v>
      </c>
      <c r="L46" s="58">
        <v>44</v>
      </c>
      <c r="M46" s="58">
        <v>44</v>
      </c>
      <c r="N46" s="58">
        <v>44</v>
      </c>
      <c r="O46" s="58">
        <v>44</v>
      </c>
      <c r="Q46" s="58">
        <v>7</v>
      </c>
      <c r="R46" s="58">
        <v>1</v>
      </c>
      <c r="S46" s="58">
        <v>2</v>
      </c>
      <c r="T46" s="58">
        <v>3</v>
      </c>
      <c r="U46" s="58">
        <v>4</v>
      </c>
      <c r="V46" s="58">
        <v>5</v>
      </c>
      <c r="W46" s="58">
        <v>6</v>
      </c>
      <c r="Y46" s="58">
        <f t="shared" si="1"/>
        <v>44</v>
      </c>
      <c r="Z46" s="58">
        <f t="shared" si="1"/>
        <v>45</v>
      </c>
      <c r="AA46" s="58">
        <f t="shared" si="1"/>
        <v>45</v>
      </c>
      <c r="AB46" s="58">
        <f t="shared" si="1"/>
        <v>45</v>
      </c>
      <c r="AC46" s="58">
        <f t="shared" si="1"/>
        <v>45</v>
      </c>
      <c r="AD46" s="58">
        <f t="shared" si="1"/>
        <v>45</v>
      </c>
      <c r="AE46" s="58">
        <f t="shared" si="1"/>
        <v>45</v>
      </c>
    </row>
    <row r="47" spans="1:31" x14ac:dyDescent="0.3">
      <c r="A47" s="57">
        <v>44870</v>
      </c>
      <c r="B47" s="57">
        <v>44871</v>
      </c>
      <c r="C47" s="57">
        <v>44872</v>
      </c>
      <c r="D47" s="57">
        <v>44873</v>
      </c>
      <c r="E47" s="57">
        <v>44874</v>
      </c>
      <c r="F47" s="57">
        <v>44875</v>
      </c>
      <c r="G47" s="57">
        <v>44876</v>
      </c>
      <c r="I47" s="58">
        <v>44</v>
      </c>
      <c r="J47" s="58">
        <v>44</v>
      </c>
      <c r="K47" s="58">
        <v>45</v>
      </c>
      <c r="L47" s="58">
        <v>45</v>
      </c>
      <c r="M47" s="58">
        <v>45</v>
      </c>
      <c r="N47" s="58">
        <v>45</v>
      </c>
      <c r="O47" s="58">
        <v>45</v>
      </c>
      <c r="Q47" s="58">
        <v>7</v>
      </c>
      <c r="R47" s="58">
        <v>1</v>
      </c>
      <c r="S47" s="58">
        <v>2</v>
      </c>
      <c r="T47" s="58">
        <v>3</v>
      </c>
      <c r="U47" s="58">
        <v>4</v>
      </c>
      <c r="V47" s="58">
        <v>5</v>
      </c>
      <c r="W47" s="58">
        <v>6</v>
      </c>
      <c r="Y47" s="58">
        <f t="shared" si="1"/>
        <v>45</v>
      </c>
      <c r="Z47" s="58">
        <f t="shared" si="1"/>
        <v>46</v>
      </c>
      <c r="AA47" s="58">
        <f t="shared" si="1"/>
        <v>46</v>
      </c>
      <c r="AB47" s="58">
        <f t="shared" si="1"/>
        <v>46</v>
      </c>
      <c r="AC47" s="58">
        <f t="shared" si="1"/>
        <v>46</v>
      </c>
      <c r="AD47" s="58">
        <f t="shared" si="1"/>
        <v>46</v>
      </c>
      <c r="AE47" s="58">
        <f t="shared" si="1"/>
        <v>46</v>
      </c>
    </row>
    <row r="48" spans="1:31" x14ac:dyDescent="0.3">
      <c r="A48" s="57">
        <v>44877</v>
      </c>
      <c r="B48" s="57">
        <v>44878</v>
      </c>
      <c r="C48" s="57">
        <v>44879</v>
      </c>
      <c r="D48" s="57">
        <v>44880</v>
      </c>
      <c r="E48" s="57">
        <v>44881</v>
      </c>
      <c r="F48" s="57">
        <v>44882</v>
      </c>
      <c r="G48" s="57">
        <v>44883</v>
      </c>
      <c r="I48" s="58">
        <v>45</v>
      </c>
      <c r="J48" s="58">
        <v>45</v>
      </c>
      <c r="K48" s="58">
        <v>46</v>
      </c>
      <c r="L48" s="58">
        <v>46</v>
      </c>
      <c r="M48" s="58">
        <v>46</v>
      </c>
      <c r="N48" s="58">
        <v>46</v>
      </c>
      <c r="O48" s="58">
        <v>46</v>
      </c>
      <c r="Q48" s="58">
        <v>7</v>
      </c>
      <c r="R48" s="58">
        <v>1</v>
      </c>
      <c r="S48" s="58">
        <v>2</v>
      </c>
      <c r="T48" s="58">
        <v>3</v>
      </c>
      <c r="U48" s="58">
        <v>4</v>
      </c>
      <c r="V48" s="58">
        <v>5</v>
      </c>
      <c r="W48" s="58">
        <v>6</v>
      </c>
      <c r="Y48" s="58">
        <f t="shared" si="1"/>
        <v>46</v>
      </c>
      <c r="Z48" s="58">
        <f t="shared" si="1"/>
        <v>47</v>
      </c>
      <c r="AA48" s="58">
        <f t="shared" si="1"/>
        <v>47</v>
      </c>
      <c r="AB48" s="58">
        <f t="shared" si="1"/>
        <v>47</v>
      </c>
      <c r="AC48" s="58">
        <f t="shared" si="1"/>
        <v>47</v>
      </c>
      <c r="AD48" s="58">
        <f t="shared" si="1"/>
        <v>47</v>
      </c>
      <c r="AE48" s="58">
        <f t="shared" si="1"/>
        <v>47</v>
      </c>
    </row>
    <row r="49" spans="1:31" x14ac:dyDescent="0.3">
      <c r="A49" s="57">
        <v>44884</v>
      </c>
      <c r="B49" s="57">
        <v>44885</v>
      </c>
      <c r="C49" s="57">
        <v>44886</v>
      </c>
      <c r="D49" s="57">
        <v>44887</v>
      </c>
      <c r="E49" s="57">
        <v>44888</v>
      </c>
      <c r="F49" s="57">
        <v>44889</v>
      </c>
      <c r="G49" s="57">
        <v>44890</v>
      </c>
      <c r="I49" s="58">
        <v>46</v>
      </c>
      <c r="J49" s="58">
        <v>46</v>
      </c>
      <c r="K49" s="58">
        <v>47</v>
      </c>
      <c r="L49" s="58">
        <v>47</v>
      </c>
      <c r="M49" s="58">
        <v>47</v>
      </c>
      <c r="N49" s="58">
        <v>47</v>
      </c>
      <c r="O49" s="58">
        <v>47</v>
      </c>
      <c r="Q49" s="58">
        <v>7</v>
      </c>
      <c r="R49" s="58">
        <v>1</v>
      </c>
      <c r="S49" s="58">
        <v>2</v>
      </c>
      <c r="T49" s="58">
        <v>3</v>
      </c>
      <c r="U49" s="58">
        <v>4</v>
      </c>
      <c r="V49" s="58">
        <v>5</v>
      </c>
      <c r="W49" s="58">
        <v>6</v>
      </c>
      <c r="Y49" s="58">
        <f t="shared" si="1"/>
        <v>47</v>
      </c>
      <c r="Z49" s="58">
        <f t="shared" si="1"/>
        <v>48</v>
      </c>
      <c r="AA49" s="58">
        <f t="shared" si="1"/>
        <v>48</v>
      </c>
      <c r="AB49" s="58">
        <f t="shared" si="1"/>
        <v>48</v>
      </c>
      <c r="AC49" s="58">
        <f t="shared" si="1"/>
        <v>48</v>
      </c>
      <c r="AD49" s="58">
        <f t="shared" si="1"/>
        <v>48</v>
      </c>
      <c r="AE49" s="58">
        <f t="shared" si="1"/>
        <v>48</v>
      </c>
    </row>
    <row r="50" spans="1:31" x14ac:dyDescent="0.3">
      <c r="A50" s="57">
        <v>44891</v>
      </c>
      <c r="B50" s="57">
        <v>44892</v>
      </c>
      <c r="C50" s="57">
        <v>44893</v>
      </c>
      <c r="D50" s="57">
        <v>44894</v>
      </c>
      <c r="E50" s="57">
        <v>44895</v>
      </c>
      <c r="F50" s="57">
        <v>44896</v>
      </c>
      <c r="G50" s="57">
        <v>44897</v>
      </c>
      <c r="I50" s="58">
        <v>47</v>
      </c>
      <c r="J50" s="58">
        <v>47</v>
      </c>
      <c r="K50" s="58">
        <v>48</v>
      </c>
      <c r="L50" s="58">
        <v>48</v>
      </c>
      <c r="M50" s="58">
        <v>48</v>
      </c>
      <c r="N50" s="58">
        <v>48</v>
      </c>
      <c r="O50" s="58">
        <v>48</v>
      </c>
      <c r="Q50" s="58">
        <v>7</v>
      </c>
      <c r="R50" s="58">
        <v>1</v>
      </c>
      <c r="S50" s="58">
        <v>2</v>
      </c>
      <c r="T50" s="58">
        <v>3</v>
      </c>
      <c r="U50" s="58">
        <v>4</v>
      </c>
      <c r="V50" s="58">
        <v>5</v>
      </c>
      <c r="W50" s="58">
        <v>6</v>
      </c>
      <c r="Y50" s="58">
        <f t="shared" si="1"/>
        <v>48</v>
      </c>
      <c r="Z50" s="58">
        <f t="shared" si="1"/>
        <v>49</v>
      </c>
      <c r="AA50" s="58">
        <f t="shared" si="1"/>
        <v>49</v>
      </c>
      <c r="AB50" s="58">
        <f t="shared" si="1"/>
        <v>49</v>
      </c>
      <c r="AC50" s="58">
        <f t="shared" si="1"/>
        <v>49</v>
      </c>
      <c r="AD50" s="58">
        <f t="shared" si="1"/>
        <v>49</v>
      </c>
      <c r="AE50" s="58">
        <f t="shared" si="1"/>
        <v>49</v>
      </c>
    </row>
    <row r="51" spans="1:31" x14ac:dyDescent="0.3">
      <c r="A51" s="57">
        <v>44898</v>
      </c>
      <c r="B51" s="57">
        <v>44899</v>
      </c>
      <c r="C51" s="57">
        <v>44900</v>
      </c>
      <c r="D51" s="57">
        <v>44901</v>
      </c>
      <c r="E51" s="57">
        <v>44902</v>
      </c>
      <c r="F51" s="57">
        <v>44903</v>
      </c>
      <c r="G51" s="57">
        <v>44904</v>
      </c>
      <c r="I51" s="58">
        <v>48</v>
      </c>
      <c r="J51" s="58">
        <v>48</v>
      </c>
      <c r="K51" s="58">
        <v>49</v>
      </c>
      <c r="L51" s="58">
        <v>49</v>
      </c>
      <c r="M51" s="58">
        <v>49</v>
      </c>
      <c r="N51" s="58">
        <v>49</v>
      </c>
      <c r="O51" s="58">
        <v>49</v>
      </c>
      <c r="Q51" s="58">
        <v>7</v>
      </c>
      <c r="R51" s="58">
        <v>1</v>
      </c>
      <c r="S51" s="58">
        <v>2</v>
      </c>
      <c r="T51" s="58">
        <v>3</v>
      </c>
      <c r="U51" s="58">
        <v>4</v>
      </c>
      <c r="V51" s="58">
        <v>5</v>
      </c>
      <c r="W51" s="58">
        <v>6</v>
      </c>
      <c r="Y51" s="58">
        <f t="shared" si="1"/>
        <v>49</v>
      </c>
      <c r="Z51" s="58">
        <f t="shared" si="1"/>
        <v>50</v>
      </c>
      <c r="AA51" s="58">
        <f t="shared" si="1"/>
        <v>50</v>
      </c>
      <c r="AB51" s="58">
        <f t="shared" si="1"/>
        <v>50</v>
      </c>
      <c r="AC51" s="58">
        <f t="shared" si="1"/>
        <v>50</v>
      </c>
      <c r="AD51" s="58">
        <f t="shared" si="1"/>
        <v>50</v>
      </c>
      <c r="AE51" s="58">
        <f t="shared" si="1"/>
        <v>50</v>
      </c>
    </row>
    <row r="52" spans="1:31" x14ac:dyDescent="0.3">
      <c r="A52" s="57">
        <v>44905</v>
      </c>
      <c r="B52" s="57">
        <v>44906</v>
      </c>
      <c r="C52" s="57">
        <v>44907</v>
      </c>
      <c r="D52" s="57">
        <v>44908</v>
      </c>
      <c r="E52" s="57">
        <v>44909</v>
      </c>
      <c r="F52" s="57">
        <v>44910</v>
      </c>
      <c r="G52" s="57">
        <v>44911</v>
      </c>
      <c r="I52" s="58">
        <v>49</v>
      </c>
      <c r="J52" s="58">
        <v>49</v>
      </c>
      <c r="K52" s="58">
        <v>50</v>
      </c>
      <c r="L52" s="58">
        <v>50</v>
      </c>
      <c r="M52" s="58">
        <v>50</v>
      </c>
      <c r="N52" s="58">
        <v>50</v>
      </c>
      <c r="O52" s="58">
        <v>50</v>
      </c>
      <c r="Q52" s="58">
        <v>7</v>
      </c>
      <c r="R52" s="58">
        <v>1</v>
      </c>
      <c r="S52" s="58">
        <v>2</v>
      </c>
      <c r="T52" s="58">
        <v>3</v>
      </c>
      <c r="U52" s="58">
        <v>4</v>
      </c>
      <c r="V52" s="58">
        <v>5</v>
      </c>
      <c r="W52" s="58">
        <v>6</v>
      </c>
      <c r="Y52" s="58">
        <f t="shared" si="1"/>
        <v>50</v>
      </c>
      <c r="Z52" s="58">
        <f t="shared" si="1"/>
        <v>51</v>
      </c>
      <c r="AA52" s="58">
        <f t="shared" si="1"/>
        <v>51</v>
      </c>
      <c r="AB52" s="58">
        <f t="shared" si="1"/>
        <v>51</v>
      </c>
      <c r="AC52" s="58">
        <f t="shared" si="1"/>
        <v>51</v>
      </c>
      <c r="AD52" s="58">
        <f t="shared" si="1"/>
        <v>51</v>
      </c>
      <c r="AE52" s="58">
        <f t="shared" si="1"/>
        <v>51</v>
      </c>
    </row>
    <row r="53" spans="1:31" x14ac:dyDescent="0.3">
      <c r="A53" s="57">
        <v>44912</v>
      </c>
      <c r="B53" s="57">
        <v>44913</v>
      </c>
      <c r="C53" s="57">
        <v>44914</v>
      </c>
      <c r="D53" s="57">
        <v>44915</v>
      </c>
      <c r="E53" s="57">
        <v>44916</v>
      </c>
      <c r="F53" s="57">
        <v>44917</v>
      </c>
      <c r="G53" s="57">
        <v>44918</v>
      </c>
      <c r="I53" s="58">
        <v>50</v>
      </c>
      <c r="J53" s="58">
        <v>50</v>
      </c>
      <c r="K53" s="58">
        <v>51</v>
      </c>
      <c r="L53" s="58">
        <v>51</v>
      </c>
      <c r="M53" s="58">
        <v>51</v>
      </c>
      <c r="N53" s="58">
        <v>51</v>
      </c>
      <c r="O53" s="58">
        <v>51</v>
      </c>
      <c r="Q53" s="58">
        <v>7</v>
      </c>
      <c r="R53" s="58">
        <v>1</v>
      </c>
      <c r="S53" s="58">
        <v>2</v>
      </c>
      <c r="T53" s="58">
        <v>3</v>
      </c>
      <c r="U53" s="58">
        <v>4</v>
      </c>
      <c r="V53" s="58">
        <v>5</v>
      </c>
      <c r="W53" s="58">
        <v>6</v>
      </c>
      <c r="Y53" s="58">
        <f t="shared" si="1"/>
        <v>51</v>
      </c>
      <c r="Z53" s="58">
        <f t="shared" si="1"/>
        <v>52</v>
      </c>
      <c r="AA53" s="58">
        <f t="shared" ref="AA53:AE54" si="2">WEEKNUM(C53)</f>
        <v>52</v>
      </c>
      <c r="AB53" s="58">
        <f t="shared" si="2"/>
        <v>52</v>
      </c>
      <c r="AC53" s="58">
        <f t="shared" si="2"/>
        <v>52</v>
      </c>
      <c r="AD53" s="58">
        <f t="shared" si="2"/>
        <v>52</v>
      </c>
      <c r="AE53" s="58">
        <f t="shared" si="2"/>
        <v>52</v>
      </c>
    </row>
    <row r="54" spans="1:31" x14ac:dyDescent="0.3">
      <c r="A54" s="57">
        <v>44919</v>
      </c>
      <c r="B54" s="57">
        <v>44920</v>
      </c>
      <c r="C54" s="57">
        <v>44921</v>
      </c>
      <c r="D54" s="57">
        <v>44922</v>
      </c>
      <c r="E54" s="57">
        <v>44923</v>
      </c>
      <c r="F54" s="57">
        <v>44924</v>
      </c>
      <c r="G54" s="57">
        <v>44925</v>
      </c>
      <c r="I54" s="58">
        <v>51</v>
      </c>
      <c r="J54" s="58">
        <v>51</v>
      </c>
      <c r="K54" s="58">
        <v>52</v>
      </c>
      <c r="L54" s="58">
        <v>52</v>
      </c>
      <c r="M54" s="58">
        <v>52</v>
      </c>
      <c r="N54" s="58">
        <v>52</v>
      </c>
      <c r="O54" s="58">
        <v>52</v>
      </c>
      <c r="Q54" s="58">
        <v>7</v>
      </c>
      <c r="R54" s="58">
        <v>1</v>
      </c>
      <c r="S54" s="58">
        <v>2</v>
      </c>
      <c r="T54" s="58">
        <v>3</v>
      </c>
      <c r="U54" s="58">
        <v>4</v>
      </c>
      <c r="V54" s="58">
        <v>5</v>
      </c>
      <c r="W54" s="58">
        <v>6</v>
      </c>
      <c r="Y54" s="58">
        <f t="shared" ref="Y54:Z54" si="3">WEEKNUM(A54)</f>
        <v>52</v>
      </c>
      <c r="Z54" s="58">
        <f t="shared" si="3"/>
        <v>53</v>
      </c>
      <c r="AA54" s="58">
        <f t="shared" si="2"/>
        <v>53</v>
      </c>
      <c r="AB54" s="58">
        <f t="shared" si="2"/>
        <v>53</v>
      </c>
      <c r="AC54" s="58">
        <f t="shared" si="2"/>
        <v>53</v>
      </c>
      <c r="AD54" s="58">
        <f t="shared" si="2"/>
        <v>53</v>
      </c>
      <c r="AE54" s="58">
        <f t="shared" si="2"/>
        <v>53</v>
      </c>
    </row>
  </sheetData>
  <mergeCells count="4">
    <mergeCell ref="A1:G1"/>
    <mergeCell ref="I1:O1"/>
    <mergeCell ref="Q1:W1"/>
    <mergeCell ref="Y1:AE1"/>
  </mergeCells>
  <conditionalFormatting sqref="A3:G54">
    <cfRule type="timePeriod" dxfId="24" priority="1" timePeriod="today">
      <formula>FLOOR(A3,1)=TODAY()</formula>
    </cfRule>
    <cfRule type="timePeriod" dxfId="23" priority="2" timePeriod="yesterday">
      <formula>FLOOR(A3,1)=TODAY()-1</formula>
    </cfRule>
    <cfRule type="timePeriod" dxfId="22" priority="3" timePeriod="tomorrow">
      <formula>FLOOR(A3,1)=TODAY()+1</formula>
    </cfRule>
    <cfRule type="timePeriod" dxfId="21" priority="4" timePeriod="thisWeek">
      <formula>AND(TODAY()-ROUNDDOWN(A3,0)&lt;=WEEKDAY(TODAY())-1,ROUNDDOWN(A3,0)-TODAY()&lt;=7-WEEKDAY(TODAY()))</formula>
    </cfRule>
    <cfRule type="timePeriod" dxfId="20" priority="5" timePeriod="lastWeek">
      <formula>AND(TODAY()-ROUNDDOWN(A3,0)&gt;=(WEEKDAY(TODAY())),TODAY()-ROUNDDOWN(A3,0)&lt;(WEEKDAY(TODAY())+7))</formula>
    </cfRule>
    <cfRule type="timePeriod" dxfId="19" priority="6" timePeriod="last7Days">
      <formula>AND(TODAY()-FLOOR(A3,1)&lt;=6,FLOOR(A3,1)&lt;=TODAY())</formula>
    </cfRule>
    <cfRule type="timePeriod" dxfId="18" priority="7" timePeriod="tomorrow">
      <formula>FLOOR(A3,1)=TODAY()+1</formula>
    </cfRule>
    <cfRule type="timePeriod" dxfId="17" priority="8" timePeriod="today">
      <formula>FLOOR(A3,1)=TODAY()</formula>
    </cfRule>
    <cfRule type="timePeriod" dxfId="16" priority="9" timePeriod="lastMonth">
      <formula>AND(MONTH(A3)=MONTH(EDATE(TODAY(),0-1)),YEAR(A3)=YEAR(EDATE(TODAY(),0-1)))</formula>
    </cfRule>
    <cfRule type="timePeriod" dxfId="15" priority="10" timePeriod="nextMonth">
      <formula>AND(MONTH(A3)=MONTH(EDATE(TODAY(),0+1)),YEAR(A3)=YEAR(EDATE(TODAY(),0+1)))</formula>
    </cfRule>
    <cfRule type="timePeriod" dxfId="14" priority="11" timePeriod="thisMonth">
      <formula>AND(MONTH(A3)=MONTH(TODAY()),YEAR(A3)=YEAR(TODAY()))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E0E68-B031-4024-8F12-C376BB615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Summary</vt:lpstr>
      <vt:lpstr>Summary - Sorted</vt:lpstr>
      <vt:lpstr>Month Guide</vt:lpstr>
      <vt:lpstr>HQ Fleet Attendance</vt:lpstr>
      <vt:lpstr>Calendar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ALERZO</dc:creator>
  <cp:lastModifiedBy>ALERZO</cp:lastModifiedBy>
  <dcterms:created xsi:type="dcterms:W3CDTF">2022-09-20T10:38:33Z</dcterms:created>
  <dcterms:modified xsi:type="dcterms:W3CDTF">2022-10-25T09:47:24Z</dcterms:modified>
</cp:coreProperties>
</file>